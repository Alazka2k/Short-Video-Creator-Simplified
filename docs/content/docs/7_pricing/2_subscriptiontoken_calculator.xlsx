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ode\Short-Video-Creator-Simplified\docs\content\docs\7_pricing\"/>
    </mc:Choice>
  </mc:AlternateContent>
  <xr:revisionPtr revIDLastSave="0" documentId="13_ncr:1_{94CE31BE-C208-4741-AD79-E3E7B507074A}" xr6:coauthVersionLast="47" xr6:coauthVersionMax="47" xr10:uidLastSave="{00000000-0000-0000-0000-000000000000}"/>
  <bookViews>
    <workbookView xWindow="-110" yWindow="-110" windowWidth="19420" windowHeight="10300" tabRatio="797" xr2:uid="{00000000-000D-0000-FFFF-FFFF00000000}"/>
  </bookViews>
  <sheets>
    <sheet name="Services" sheetId="1" r:id="rId1"/>
    <sheet name="AWS S3" sheetId="9" r:id="rId2"/>
    <sheet name="IAM AuthO" sheetId="10" r:id="rId3"/>
    <sheet name="LLM" sheetId="2" r:id="rId4"/>
    <sheet name="Image" sheetId="4" r:id="rId5"/>
    <sheet name="Voice" sheetId="3" r:id="rId6"/>
    <sheet name="Animation" sheetId="6" r:id="rId7"/>
    <sheet name="Video" sheetId="7" r:id="rId8"/>
    <sheet name="Music" sheetId="5" r:id="rId9"/>
    <sheet name="Assembly" sheetId="8" r:id="rId1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D3" i="1"/>
  <c r="B29" i="1" s="1"/>
  <c r="F12" i="4"/>
  <c r="G3" i="4"/>
  <c r="F2" i="4"/>
  <c r="D4" i="1"/>
  <c r="B30" i="1" s="1"/>
  <c r="B24" i="1"/>
  <c r="O4" i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L3" i="1"/>
  <c r="G4" i="8"/>
  <c r="F8" i="8"/>
  <c r="H8" i="8" s="1"/>
  <c r="F9" i="8"/>
  <c r="H9" i="8" s="1"/>
  <c r="F10" i="8"/>
  <c r="H10" i="8" s="1"/>
  <c r="F7" i="8"/>
  <c r="H7" i="8" s="1"/>
  <c r="F2" i="8"/>
  <c r="H2" i="8" s="1"/>
  <c r="F4" i="8"/>
  <c r="H4" i="8" s="1"/>
  <c r="F5" i="8"/>
  <c r="H5" i="8" s="1"/>
  <c r="F6" i="8"/>
  <c r="H6" i="8" s="1"/>
  <c r="F3" i="8"/>
  <c r="H3" i="8" s="1"/>
  <c r="E8" i="8"/>
  <c r="G8" i="8" s="1"/>
  <c r="E9" i="8"/>
  <c r="G9" i="8" s="1"/>
  <c r="E10" i="8"/>
  <c r="G10" i="8" s="1"/>
  <c r="E7" i="8"/>
  <c r="G7" i="8" s="1"/>
  <c r="E4" i="8"/>
  <c r="E5" i="8"/>
  <c r="G5" i="8" s="1"/>
  <c r="E6" i="8"/>
  <c r="G6" i="8" s="1"/>
  <c r="E3" i="8"/>
  <c r="G3" i="8" s="1"/>
  <c r="E2" i="8"/>
  <c r="G2" i="8" s="1"/>
  <c r="M4" i="1" l="1"/>
  <c r="D30" i="1" s="1"/>
  <c r="E30" i="1" s="1"/>
  <c r="M5" i="1"/>
  <c r="D31" i="1" s="1"/>
  <c r="M6" i="1"/>
  <c r="D32" i="1" s="1"/>
  <c r="M7" i="1"/>
  <c r="D33" i="1" s="1"/>
  <c r="M8" i="1"/>
  <c r="D34" i="1" s="1"/>
  <c r="M9" i="1"/>
  <c r="D35" i="1" s="1"/>
  <c r="M10" i="1"/>
  <c r="D36" i="1" s="1"/>
  <c r="M11" i="1"/>
  <c r="D37" i="1" s="1"/>
  <c r="M12" i="1"/>
  <c r="D38" i="1" s="1"/>
  <c r="M3" i="1"/>
  <c r="D29" i="1" s="1"/>
  <c r="E29" i="1" s="1"/>
  <c r="L4" i="1"/>
  <c r="L5" i="1"/>
  <c r="L6" i="1"/>
  <c r="L7" i="1"/>
  <c r="L8" i="1"/>
  <c r="L9" i="1"/>
  <c r="L10" i="1"/>
  <c r="L11" i="1"/>
  <c r="L12" i="1"/>
  <c r="J3" i="1"/>
  <c r="I29" i="1" s="1"/>
  <c r="F24" i="5"/>
  <c r="K4" i="1"/>
  <c r="K5" i="1"/>
  <c r="K6" i="1"/>
  <c r="K7" i="1"/>
  <c r="K8" i="1"/>
  <c r="K9" i="1"/>
  <c r="K10" i="1"/>
  <c r="K11" i="1"/>
  <c r="K12" i="1"/>
  <c r="K3" i="1"/>
  <c r="J4" i="1"/>
  <c r="I30" i="1" s="1"/>
  <c r="J5" i="1"/>
  <c r="J6" i="1"/>
  <c r="J7" i="1"/>
  <c r="J8" i="1"/>
  <c r="J9" i="1"/>
  <c r="J10" i="1"/>
  <c r="J11" i="1"/>
  <c r="J12" i="1"/>
  <c r="F13" i="7"/>
  <c r="E13" i="7"/>
  <c r="I4" i="1"/>
  <c r="H30" i="1" s="1"/>
  <c r="I5" i="1"/>
  <c r="I6" i="1"/>
  <c r="I7" i="1"/>
  <c r="I8" i="1"/>
  <c r="I9" i="1"/>
  <c r="I10" i="1"/>
  <c r="I11" i="1"/>
  <c r="I12" i="1"/>
  <c r="I3" i="1"/>
  <c r="H29" i="1" s="1"/>
  <c r="F3" i="1"/>
  <c r="D3" i="6"/>
  <c r="D4" i="6"/>
  <c r="E4" i="6" s="1"/>
  <c r="E3" i="6"/>
  <c r="E10" i="1"/>
  <c r="E11" i="1"/>
  <c r="F9" i="4"/>
  <c r="E4" i="1" s="1"/>
  <c r="H4" i="1"/>
  <c r="H5" i="1"/>
  <c r="H6" i="1"/>
  <c r="H7" i="1"/>
  <c r="H8" i="1"/>
  <c r="H9" i="1"/>
  <c r="H10" i="1"/>
  <c r="H11" i="1"/>
  <c r="H12" i="1"/>
  <c r="H3" i="1"/>
  <c r="G3" i="1"/>
  <c r="C29" i="1" s="1"/>
  <c r="F29" i="1" s="1"/>
  <c r="G12" i="3"/>
  <c r="G13" i="3"/>
  <c r="G14" i="3"/>
  <c r="G11" i="3"/>
  <c r="G2" i="3"/>
  <c r="F11" i="3"/>
  <c r="G4" i="1"/>
  <c r="C30" i="1" s="1"/>
  <c r="F30" i="1" s="1"/>
  <c r="G5" i="1"/>
  <c r="C31" i="1" s="1"/>
  <c r="G6" i="1"/>
  <c r="C32" i="1" s="1"/>
  <c r="G7" i="1"/>
  <c r="C33" i="1" s="1"/>
  <c r="G8" i="1"/>
  <c r="C34" i="1" s="1"/>
  <c r="G9" i="1"/>
  <c r="C35" i="1" s="1"/>
  <c r="G10" i="1"/>
  <c r="C36" i="1" s="1"/>
  <c r="G11" i="1"/>
  <c r="C37" i="1" s="1"/>
  <c r="G12" i="1"/>
  <c r="C38" i="1" s="1"/>
  <c r="F4" i="1"/>
  <c r="F5" i="1"/>
  <c r="F6" i="1"/>
  <c r="F7" i="1"/>
  <c r="F8" i="1"/>
  <c r="F9" i="1"/>
  <c r="F10" i="1"/>
  <c r="F11" i="1"/>
  <c r="F12" i="1"/>
  <c r="C3" i="1"/>
  <c r="E11" i="5"/>
  <c r="G11" i="5" s="1"/>
  <c r="H3" i="5"/>
  <c r="D26" i="5"/>
  <c r="E4" i="5"/>
  <c r="G4" i="5" s="1"/>
  <c r="D25" i="5" s="1"/>
  <c r="E3" i="5"/>
  <c r="G3" i="5" s="1"/>
  <c r="D24" i="5" s="1"/>
  <c r="F3" i="5"/>
  <c r="E13" i="5"/>
  <c r="G13" i="5" s="1"/>
  <c r="E14" i="5"/>
  <c r="G14" i="5" s="1"/>
  <c r="E15" i="5"/>
  <c r="G15" i="5" s="1"/>
  <c r="E16" i="5"/>
  <c r="G16" i="5" s="1"/>
  <c r="E17" i="5"/>
  <c r="G17" i="5" s="1"/>
  <c r="E18" i="5"/>
  <c r="G18" i="5" s="1"/>
  <c r="E12" i="5"/>
  <c r="G12" i="5" s="1"/>
  <c r="F4" i="5"/>
  <c r="H4" i="5" s="1"/>
  <c r="D27" i="5" s="1"/>
  <c r="F2" i="5"/>
  <c r="H2" i="5" s="1"/>
  <c r="E2" i="5"/>
  <c r="G2" i="5" s="1"/>
  <c r="C4" i="1"/>
  <c r="C5" i="1"/>
  <c r="C6" i="1"/>
  <c r="C9" i="1"/>
  <c r="C10" i="1"/>
  <c r="C11" i="1"/>
  <c r="C12" i="1"/>
  <c r="B6" i="1"/>
  <c r="D2" i="2"/>
  <c r="B4" i="1" s="1"/>
  <c r="E2" i="3"/>
  <c r="H4" i="3"/>
  <c r="G6" i="3"/>
  <c r="F12" i="3"/>
  <c r="F13" i="3"/>
  <c r="F14" i="3"/>
  <c r="F3" i="3"/>
  <c r="H3" i="3" s="1"/>
  <c r="F4" i="3"/>
  <c r="F5" i="3"/>
  <c r="H5" i="3" s="1"/>
  <c r="F6" i="3"/>
  <c r="H6" i="3" s="1"/>
  <c r="F2" i="3"/>
  <c r="H2" i="3" s="1"/>
  <c r="E5" i="3"/>
  <c r="G5" i="3" s="1"/>
  <c r="E6" i="3"/>
  <c r="E3" i="3"/>
  <c r="G3" i="3" s="1"/>
  <c r="E4" i="3"/>
  <c r="G4" i="3" s="1"/>
  <c r="D8" i="1"/>
  <c r="B34" i="1" s="1"/>
  <c r="C7" i="1"/>
  <c r="E9" i="4"/>
  <c r="E10" i="4"/>
  <c r="F10" i="4" s="1"/>
  <c r="E11" i="4"/>
  <c r="F11" i="4" s="1"/>
  <c r="E12" i="4"/>
  <c r="E4" i="4"/>
  <c r="F4" i="4" s="1"/>
  <c r="E5" i="4"/>
  <c r="F5" i="4" s="1"/>
  <c r="E3" i="4"/>
  <c r="F3" i="4" s="1"/>
  <c r="K30" i="1" l="1"/>
  <c r="M30" i="1"/>
  <c r="K29" i="1"/>
  <c r="M29" i="1" s="1"/>
  <c r="J30" i="1"/>
  <c r="L30" i="1" s="1"/>
  <c r="H34" i="1"/>
  <c r="J34" i="1" s="1"/>
  <c r="L34" i="1" s="1"/>
  <c r="I34" i="1"/>
  <c r="K34" i="1" s="1"/>
  <c r="M34" i="1" s="1"/>
  <c r="J29" i="1"/>
  <c r="L29" i="1" s="1"/>
  <c r="G30" i="1"/>
  <c r="F34" i="1"/>
  <c r="E34" i="1"/>
  <c r="G34" i="1"/>
  <c r="G29" i="1"/>
  <c r="E9" i="1"/>
  <c r="E8" i="1"/>
  <c r="E7" i="1"/>
  <c r="E6" i="1"/>
  <c r="D5" i="1"/>
  <c r="B31" i="1" s="1"/>
  <c r="D12" i="1"/>
  <c r="B38" i="1" s="1"/>
  <c r="D10" i="1"/>
  <c r="B36" i="1" s="1"/>
  <c r="C8" i="1"/>
  <c r="D9" i="1"/>
  <c r="B35" i="1" s="1"/>
  <c r="E3" i="1"/>
  <c r="E5" i="1"/>
  <c r="D7" i="1"/>
  <c r="B33" i="1" s="1"/>
  <c r="D6" i="1"/>
  <c r="B32" i="1" s="1"/>
  <c r="D11" i="1"/>
  <c r="B37" i="1" s="1"/>
  <c r="E12" i="1"/>
  <c r="B11" i="1"/>
  <c r="B9" i="1"/>
  <c r="B10" i="1"/>
  <c r="B8" i="1"/>
  <c r="B3" i="1"/>
  <c r="B5" i="1"/>
  <c r="B7" i="1"/>
  <c r="B12" i="1"/>
  <c r="E25" i="5"/>
  <c r="F25" i="5" s="1"/>
  <c r="E24" i="5"/>
  <c r="E27" i="5"/>
  <c r="E26" i="5"/>
  <c r="F26" i="5" s="1"/>
  <c r="F27" i="5"/>
  <c r="G5" i="4"/>
  <c r="G4" i="4"/>
  <c r="H35" i="1" l="1"/>
  <c r="J35" i="1" s="1"/>
  <c r="L35" i="1" s="1"/>
  <c r="I35" i="1"/>
  <c r="K35" i="1" s="1"/>
  <c r="M35" i="1" s="1"/>
  <c r="H36" i="1"/>
  <c r="J36" i="1" s="1"/>
  <c r="L36" i="1" s="1"/>
  <c r="I36" i="1"/>
  <c r="K36" i="1" s="1"/>
  <c r="M36" i="1" s="1"/>
  <c r="I38" i="1"/>
  <c r="K38" i="1" s="1"/>
  <c r="M38" i="1" s="1"/>
  <c r="H38" i="1"/>
  <c r="J38" i="1" s="1"/>
  <c r="L38" i="1" s="1"/>
  <c r="I31" i="1"/>
  <c r="K31" i="1" s="1"/>
  <c r="M31" i="1" s="1"/>
  <c r="H31" i="1"/>
  <c r="J31" i="1" s="1"/>
  <c r="L31" i="1" s="1"/>
  <c r="I37" i="1"/>
  <c r="K37" i="1" s="1"/>
  <c r="M37" i="1" s="1"/>
  <c r="H37" i="1"/>
  <c r="J37" i="1" s="1"/>
  <c r="L37" i="1" s="1"/>
  <c r="H32" i="1"/>
  <c r="J32" i="1" s="1"/>
  <c r="L32" i="1" s="1"/>
  <c r="I32" i="1"/>
  <c r="K32" i="1" s="1"/>
  <c r="M32" i="1" s="1"/>
  <c r="H33" i="1"/>
  <c r="J33" i="1" s="1"/>
  <c r="L33" i="1" s="1"/>
  <c r="I33" i="1"/>
  <c r="K33" i="1" s="1"/>
  <c r="M33" i="1" s="1"/>
  <c r="F35" i="1"/>
  <c r="E35" i="1"/>
  <c r="G35" i="1"/>
  <c r="E36" i="1"/>
  <c r="G36" i="1"/>
  <c r="F36" i="1"/>
  <c r="E37" i="1"/>
  <c r="G37" i="1"/>
  <c r="F37" i="1"/>
  <c r="G33" i="1"/>
  <c r="F33" i="1"/>
  <c r="E33" i="1"/>
  <c r="F38" i="1"/>
  <c r="E38" i="1"/>
  <c r="G38" i="1"/>
  <c r="G32" i="1"/>
  <c r="F32" i="1"/>
  <c r="E32" i="1"/>
  <c r="G31" i="1"/>
  <c r="F31" i="1"/>
  <c r="E31" i="1"/>
</calcChain>
</file>

<file path=xl/sharedStrings.xml><?xml version="1.0" encoding="utf-8"?>
<sst xmlns="http://schemas.openxmlformats.org/spreadsheetml/2006/main" count="310" uniqueCount="248">
  <si>
    <t>Image</t>
  </si>
  <si>
    <t>Voice</t>
  </si>
  <si>
    <t>Music</t>
  </si>
  <si>
    <t>Animation</t>
  </si>
  <si>
    <t>Video</t>
  </si>
  <si>
    <t>Scene Amount</t>
  </si>
  <si>
    <t>Input</t>
  </si>
  <si>
    <t>Output</t>
  </si>
  <si>
    <t>Price of Token</t>
  </si>
  <si>
    <t>$0.0300/1000 Tokens</t>
  </si>
  <si>
    <t>$0.0600/1000 Tokens</t>
  </si>
  <si>
    <t>Source: https://www.hcltech.com/blogs/openai-tokens-and-pricing</t>
  </si>
  <si>
    <t>Basic</t>
  </si>
  <si>
    <t>Standard</t>
  </si>
  <si>
    <t>Pro</t>
  </si>
  <si>
    <t>Price Annual</t>
  </si>
  <si>
    <t>Price Monthly</t>
  </si>
  <si>
    <t>Fast hours</t>
  </si>
  <si>
    <t>Limited</t>
  </si>
  <si>
    <t>Fast images</t>
  </si>
  <si>
    <t>Additional fast hours (one time payment)</t>
  </si>
  <si>
    <t>Input Token Estimation</t>
  </si>
  <si>
    <t>Output Token Estimation</t>
  </si>
  <si>
    <t>Scene</t>
  </si>
  <si>
    <t>Price per Scene (Yearly)</t>
  </si>
  <si>
    <t>Starter</t>
  </si>
  <si>
    <t>Creator</t>
  </si>
  <si>
    <t>Price per Scene (Monthly)</t>
  </si>
  <si>
    <t>Scale</t>
  </si>
  <si>
    <t>Business</t>
  </si>
  <si>
    <t>Credits per Month</t>
  </si>
  <si>
    <t>Additional usage-based credits (one time payment)</t>
  </si>
  <si>
    <t>Price per Credit (Yearly)</t>
  </si>
  <si>
    <t>Price per Credit (Monthly)</t>
  </si>
  <si>
    <t>Source: https://elevenlabs.io/app/subscription</t>
  </si>
  <si>
    <t>Price per Scene (~5-8sec audio) (Monthly)</t>
  </si>
  <si>
    <r>
      <t xml:space="preserve">Information: 1000 credits is ~1min audio, </t>
    </r>
    <r>
      <rPr>
        <b/>
        <sz val="11"/>
        <color theme="1"/>
        <rFont val="Calibri"/>
        <family val="2"/>
        <scheme val="minor"/>
      </rPr>
      <t>One scene (5-8 seconds) is approximatly 100 credits</t>
    </r>
  </si>
  <si>
    <t>Yearly</t>
  </si>
  <si>
    <t>Monthly</t>
  </si>
  <si>
    <t>Price per Video (independent of Scene Amount)</t>
  </si>
  <si>
    <t>Package Suno</t>
  </si>
  <si>
    <t>Welcome</t>
  </si>
  <si>
    <t>Free</t>
  </si>
  <si>
    <t>100 Credits</t>
  </si>
  <si>
    <t>530 Credits</t>
  </si>
  <si>
    <t>1100 Credits</t>
  </si>
  <si>
    <t>5950 Credits</t>
  </si>
  <si>
    <t>12500 Credits</t>
  </si>
  <si>
    <t>25000 Credits</t>
  </si>
  <si>
    <t>67500 Credits</t>
  </si>
  <si>
    <t>142800 Credits</t>
  </si>
  <si>
    <t>Source: https://platform.acedata.cloud/console/usages</t>
  </si>
  <si>
    <t>Price per Job (Yearly)</t>
  </si>
  <si>
    <t>Price per Job (Monthly)</t>
  </si>
  <si>
    <t>Premier</t>
  </si>
  <si>
    <t>Basic (credits per day - no commercial usage)</t>
  </si>
  <si>
    <t>Information Ace Data: 0.35-0.37 credits is one backround song -&gt; One job execution or one dedicated music generation</t>
  </si>
  <si>
    <t>Additional Service usage-based credits (Ace Data)</t>
  </si>
  <si>
    <t>Information Suno: 5 credits is one backround song -&gt; One job execution or one dedicated music generation</t>
  </si>
  <si>
    <t>Source: https://sunnoai.com/credits/#:~:text=Credit%20Allocation%3A%20How%20Suno%20AI%20Credits%20Work&amp;text=Free%20users%20receive%20a%20daily,typically%20costing%20around%205%20credits.</t>
  </si>
  <si>
    <t>Price per Job (Suno) with Monthly</t>
  </si>
  <si>
    <t>Price per Job (Suno) with Yearly</t>
  </si>
  <si>
    <t>Fix (AceData Credit)</t>
  </si>
  <si>
    <t>Total Cost per Job if Music is generated</t>
  </si>
  <si>
    <t>1 Hour</t>
  </si>
  <si>
    <t>5 Hours</t>
  </si>
  <si>
    <t>2 Hours</t>
  </si>
  <si>
    <t>12 Hours</t>
  </si>
  <si>
    <t>Package Elevenlabs</t>
  </si>
  <si>
    <t>Package Midjourney</t>
  </si>
  <si>
    <t>Package OpenAI API</t>
  </si>
  <si>
    <t>Additional One Time Payment per Scene</t>
  </si>
  <si>
    <t>Additional Credits (only when required)</t>
  </si>
  <si>
    <t>Additional Fast Hours</t>
  </si>
  <si>
    <t>One time payment as needed</t>
  </si>
  <si>
    <t>Package Immersity</t>
  </si>
  <si>
    <t>Pro Image</t>
  </si>
  <si>
    <t>Price per Credit</t>
  </si>
  <si>
    <t>Free (with watermark)</t>
  </si>
  <si>
    <t>Price</t>
  </si>
  <si>
    <t>Unlimited</t>
  </si>
  <si>
    <t>Source: Calculation after execution</t>
  </si>
  <si>
    <t>Price per Scene (~5-8sec audio is 100 credits) (Yearly)</t>
  </si>
  <si>
    <t>Price per Scene (5-8 seconds video is 20 credits)</t>
  </si>
  <si>
    <r>
      <t xml:space="preserve">Information: </t>
    </r>
    <r>
      <rPr>
        <b/>
        <sz val="11"/>
        <color theme="1"/>
        <rFont val="Calibri"/>
        <family val="2"/>
        <scheme val="minor"/>
      </rPr>
      <t>20 credits is ~ animation for one scene (5-8 seconds)</t>
    </r>
  </si>
  <si>
    <t>Plus</t>
  </si>
  <si>
    <t>Enterprise</t>
  </si>
  <si>
    <t>Free (non commercial usage)</t>
  </si>
  <si>
    <t>Lite (non commercial usage)</t>
  </si>
  <si>
    <t>No information</t>
  </si>
  <si>
    <t>Package Fix Price Lumalabs</t>
  </si>
  <si>
    <r>
      <t xml:space="preserve">Information: </t>
    </r>
    <r>
      <rPr>
        <b/>
        <sz val="11"/>
        <color theme="1"/>
        <rFont val="Calibri"/>
        <family val="2"/>
        <scheme val="minor"/>
      </rPr>
      <t>Credits are only used for Frontend interface. Since we use API we do 'Plus' package would be enough to cover the requirements</t>
    </r>
    <r>
      <rPr>
        <sz val="11"/>
        <color theme="1"/>
        <rFont val="Calibri"/>
        <family val="2"/>
        <scheme val="minor"/>
      </rPr>
      <t>.</t>
    </r>
  </si>
  <si>
    <t>Lumalabs API Access Credit System (Additional)</t>
  </si>
  <si>
    <t>Unit Price</t>
  </si>
  <si>
    <t>Price per Scene (540p)</t>
  </si>
  <si>
    <t>Price per Scene (720p)</t>
  </si>
  <si>
    <t>Quantity for a scene (540p)</t>
  </si>
  <si>
    <t>Quantity for a scene (720p)</t>
  </si>
  <si>
    <r>
      <t xml:space="preserve">Information: For </t>
    </r>
    <r>
      <rPr>
        <b/>
        <sz val="11"/>
        <color theme="1"/>
        <rFont val="Calibri"/>
        <family val="2"/>
        <scheme val="minor"/>
      </rPr>
      <t>540p one scene has a quantiy of 65</t>
    </r>
    <r>
      <rPr>
        <sz val="11"/>
        <color theme="1"/>
        <rFont val="Calibri"/>
        <family val="2"/>
        <scheme val="minor"/>
      </rPr>
      <t xml:space="preserve"> (million pixel); For 720 one scene has a quantity of 124 (million pixel) for a </t>
    </r>
    <r>
      <rPr>
        <b/>
        <sz val="11"/>
        <color theme="1"/>
        <rFont val="Calibri"/>
        <family val="2"/>
        <scheme val="minor"/>
      </rPr>
      <t>time of 5 seconds</t>
    </r>
  </si>
  <si>
    <t>Billed per Usage (5 seconds clips)</t>
  </si>
  <si>
    <r>
      <rPr>
        <b/>
        <sz val="11"/>
        <color theme="1"/>
        <rFont val="Calibri"/>
        <family val="2"/>
        <scheme val="minor"/>
      </rPr>
      <t>One Time Payment explanation:</t>
    </r>
    <r>
      <rPr>
        <sz val="11"/>
        <color theme="1"/>
        <rFont val="Calibri"/>
        <family val="2"/>
        <scheme val="minor"/>
      </rPr>
      <t xml:space="preserve"> For Creator it costs 0,3 $ for additional 1000 credits as pay as you go service</t>
    </r>
  </si>
  <si>
    <t>540p</t>
  </si>
  <si>
    <t>720p</t>
  </si>
  <si>
    <t>Total for Different Packages</t>
  </si>
  <si>
    <t>LLM (Fix)</t>
  </si>
  <si>
    <t>Music (Fix)</t>
  </si>
  <si>
    <t>Lumalabs Fix Package</t>
  </si>
  <si>
    <t>Lexoffice</t>
  </si>
  <si>
    <t>Cursor</t>
  </si>
  <si>
    <t>IT Recht (AGB Documents)</t>
  </si>
  <si>
    <t>Assembly</t>
  </si>
  <si>
    <t>Total calculation for different different constellation of job runs</t>
  </si>
  <si>
    <t>Additional Fix Costs (Monthly)</t>
  </si>
  <si>
    <t>Parameter</t>
  </si>
  <si>
    <t>Wert (angenommene Nutzung pro Monat)</t>
  </si>
  <si>
    <t>Durchschnittliche Szenenanzahl pro User</t>
  </si>
  <si>
    <t>5 Szenen pro Content</t>
  </si>
  <si>
    <t>Durchschnittliche Datei-Größe pro Szene</t>
  </si>
  <si>
    <r>
      <t>10 MB</t>
    </r>
    <r>
      <rPr>
        <sz val="11"/>
        <color theme="1"/>
        <rFont val="Calibri"/>
        <family val="2"/>
        <scheme val="minor"/>
      </rPr>
      <t xml:space="preserve"> (z. B. Bild, Audio, Video)</t>
    </r>
  </si>
  <si>
    <t>Anzahl aktiver Nutzer pro Monat</t>
  </si>
  <si>
    <t>100 Nutzer</t>
  </si>
  <si>
    <t>Anzahl PUT-Anfragen pro Nutzer</t>
  </si>
  <si>
    <t>5 PUTs × 5 Szenen = 25 PUTs</t>
  </si>
  <si>
    <t>Anzahl GET-Anfragen pro Nutzer (Anzeigen &amp; Download)</t>
  </si>
  <si>
    <t>10 GETs × 5 Szenen = 50 GETs</t>
  </si>
  <si>
    <t>Durchschnittliches final generiertes Video</t>
  </si>
  <si>
    <t>50 MB pro Video</t>
  </si>
  <si>
    <t>Anzahl final generierter Videos pro User</t>
  </si>
  <si>
    <t>2 Videos pro User</t>
  </si>
  <si>
    <t>Anzahl GET-Anfragen für Videos</t>
  </si>
  <si>
    <t>5 GETs pro Video</t>
  </si>
  <si>
    <t>Annahmen für eine Kostenabschätzung</t>
  </si>
  <si>
    <r>
      <t>Speicherverbrauch pro Monat</t>
    </r>
    <r>
      <rPr>
        <sz val="11"/>
        <color theme="1"/>
        <rFont val="Calibri"/>
        <family val="2"/>
        <scheme val="minor"/>
      </rPr>
      <t>:</t>
    </r>
  </si>
  <si>
    <t>100 Nutzer × 5 Szenen × 10 MB = 5 GB</t>
  </si>
  <si>
    <t>100 Nutzer × 2 finale Videos × 50 MB = 10 GB</t>
  </si>
  <si>
    <t>Gesamtspeicher: 15 GB pro Monat</t>
  </si>
  <si>
    <r>
      <t xml:space="preserve">Kosten: </t>
    </r>
    <r>
      <rPr>
        <b/>
        <sz val="11"/>
        <color theme="1"/>
        <rFont val="Calibri"/>
        <family val="2"/>
        <scheme val="minor"/>
      </rPr>
      <t>15 GB × $0.023 = $0.35 pro Monat</t>
    </r>
    <r>
      <rPr>
        <sz val="11"/>
        <color theme="1"/>
        <rFont val="Calibri"/>
        <family val="2"/>
        <scheme val="minor"/>
      </rPr>
      <t xml:space="preserve"> (S3 Standard)</t>
    </r>
  </si>
  <si>
    <t>PUT-Anfragen:</t>
  </si>
  <si>
    <r>
      <t xml:space="preserve">100 Nutzer × 25 PUTs = </t>
    </r>
    <r>
      <rPr>
        <b/>
        <sz val="11"/>
        <color theme="1"/>
        <rFont val="Calibri"/>
        <family val="2"/>
        <scheme val="minor"/>
      </rPr>
      <t>2.500 PUTs</t>
    </r>
  </si>
  <si>
    <r>
      <t xml:space="preserve">Kosten: </t>
    </r>
    <r>
      <rPr>
        <b/>
        <sz val="11"/>
        <color theme="1"/>
        <rFont val="Calibri"/>
        <family val="2"/>
        <scheme val="minor"/>
      </rPr>
      <t>$0.005 pro 1.000 PUTs → $0.0125</t>
    </r>
  </si>
  <si>
    <t>GET-Anfragen:</t>
  </si>
  <si>
    <r>
      <t xml:space="preserve">(100 Nutzer × 50 GETs) + (100 Nutzer × 2 Videos × 5 GETs) = </t>
    </r>
    <r>
      <rPr>
        <b/>
        <sz val="11"/>
        <color theme="1"/>
        <rFont val="Calibri"/>
        <family val="2"/>
        <scheme val="minor"/>
      </rPr>
      <t>5.000 + 1.000 = 6.000 GETs</t>
    </r>
  </si>
  <si>
    <r>
      <t xml:space="preserve">Kosten: </t>
    </r>
    <r>
      <rPr>
        <b/>
        <sz val="11"/>
        <color theme="1"/>
        <rFont val="Calibri"/>
        <family val="2"/>
        <scheme val="minor"/>
      </rPr>
      <t>$0.0004 pro 1.000 GETs → $0.0024</t>
    </r>
  </si>
  <si>
    <t>Datenübertragung ins Internet:</t>
  </si>
  <si>
    <r>
      <t xml:space="preserve">100 Nutzer × 2 Videos × 50 MB = </t>
    </r>
    <r>
      <rPr>
        <b/>
        <sz val="11"/>
        <color theme="1"/>
        <rFont val="Calibri"/>
        <family val="2"/>
        <scheme val="minor"/>
      </rPr>
      <t>10 GB pro Monat</t>
    </r>
  </si>
  <si>
    <r>
      <t xml:space="preserve">Kosten: </t>
    </r>
    <r>
      <rPr>
        <b/>
        <sz val="11"/>
        <color theme="1"/>
        <rFont val="Calibri"/>
        <family val="2"/>
        <scheme val="minor"/>
      </rPr>
      <t>10 GB × $0.09 = $0.90 pro Monat</t>
    </r>
  </si>
  <si>
    <t>Speicherkosten</t>
  </si>
  <si>
    <t>API-Kosten (PUT &amp; GET)</t>
  </si>
  <si>
    <t>Kostenberechnung für AWS S3</t>
  </si>
  <si>
    <t>Datenübertragungskosten</t>
  </si>
  <si>
    <t>Kostenkategorie</t>
  </si>
  <si>
    <t>Kosten pro Monat</t>
  </si>
  <si>
    <t>Speicher (15 GB)</t>
  </si>
  <si>
    <t>$0.35</t>
  </si>
  <si>
    <t>PUT-Anfragen (2.500)</t>
  </si>
  <si>
    <t>$0.0125</t>
  </si>
  <si>
    <t>GET-Anfragen (6.000)</t>
  </si>
  <si>
    <t>$0.0024</t>
  </si>
  <si>
    <t>Datenübertragung (10 GB)</t>
  </si>
  <si>
    <t>$0.90</t>
  </si>
  <si>
    <t>Gesamtkosten</t>
  </si>
  <si>
    <t>$1.27 pro Monat</t>
  </si>
  <si>
    <t>Gesamtmonatliche Kosten für Beispiel-Szenario</t>
  </si>
  <si>
    <t>Nutzer</t>
  </si>
  <si>
    <t>Speicher (GB)</t>
  </si>
  <si>
    <t>PUT-Anfragen</t>
  </si>
  <si>
    <t>GET-Anfragen</t>
  </si>
  <si>
    <t>Gesamtkosten ($)</t>
  </si>
  <si>
    <t>Datenübertragung (GB)</t>
  </si>
  <si>
    <t>AWS (pro 100 Nutzer)</t>
  </si>
  <si>
    <t>Durchschnittliche Anzahl der aktiven Nutzer (MAU)</t>
  </si>
  <si>
    <t>Durchschnittliche Logins pro Nutzer</t>
  </si>
  <si>
    <t>5 Logins pro Monat</t>
  </si>
  <si>
    <t>Gesamtanzahl der Logins</t>
  </si>
  <si>
    <t>100 Nutzer × 5 = 500 Logins</t>
  </si>
  <si>
    <t>Anzahl der M2M API-Anfragen</t>
  </si>
  <si>
    <t>50.000 Anfragen pro Monat</t>
  </si>
  <si>
    <t>Anzahl der Social Logins (Google Auth)</t>
  </si>
  <si>
    <t>30% der Nutzer (30 Nutzer)</t>
  </si>
  <si>
    <t>Kostenberechnung für Auth0</t>
  </si>
  <si>
    <r>
      <t>Auth0 Free Tier:</t>
    </r>
    <r>
      <rPr>
        <sz val="11"/>
        <color theme="1"/>
        <rFont val="Calibri"/>
        <family val="2"/>
        <scheme val="minor"/>
      </rPr>
      <t xml:space="preserve"> 7.000 MAUs kostenlos.</t>
    </r>
  </si>
  <si>
    <r>
      <t>Dein Szenario:</t>
    </r>
    <r>
      <rPr>
        <sz val="11"/>
        <color theme="1"/>
        <rFont val="Calibri"/>
        <family val="2"/>
        <scheme val="minor"/>
      </rPr>
      <t xml:space="preserve"> 100 MAUs </t>
    </r>
    <r>
      <rPr>
        <b/>
        <sz val="11"/>
        <color theme="1"/>
        <rFont val="Calibri"/>
        <family val="2"/>
        <scheme val="minor"/>
      </rPr>
      <t>→ kostenlos</t>
    </r>
    <r>
      <rPr>
        <sz val="11"/>
        <color theme="1"/>
        <rFont val="Calibri"/>
        <family val="2"/>
        <scheme val="minor"/>
      </rPr>
      <t>.</t>
    </r>
  </si>
  <si>
    <r>
      <t>Kosten: $0.00 pro Monat</t>
    </r>
    <r>
      <rPr>
        <sz val="11"/>
        <color theme="1"/>
        <rFont val="Calibri"/>
        <family val="2"/>
        <scheme val="minor"/>
      </rPr>
      <t>.</t>
    </r>
  </si>
  <si>
    <t>500 Logins im Monat.</t>
  </si>
  <si>
    <r>
      <t>Kosten: Auth0 rechnet pro 1.000 Logins ab</t>
    </r>
    <r>
      <rPr>
        <sz val="11"/>
        <color theme="1"/>
        <rFont val="Calibri"/>
        <family val="2"/>
        <scheme val="minor"/>
      </rPr>
      <t>.</t>
    </r>
  </si>
  <si>
    <r>
      <t>Preis: $0.0055 pro Login-Request</t>
    </r>
    <r>
      <rPr>
        <sz val="11"/>
        <color theme="1"/>
        <rFont val="Calibri"/>
        <family val="2"/>
        <scheme val="minor"/>
      </rPr>
      <t>.</t>
    </r>
  </si>
  <si>
    <r>
      <t>Kosten: (500 / 1.000) × $0.0055 = $0.00275 ≈ $0.003 pro Monat</t>
    </r>
    <r>
      <rPr>
        <sz val="11"/>
        <color theme="1"/>
        <rFont val="Calibri"/>
        <family val="2"/>
        <scheme val="minor"/>
      </rPr>
      <t>.</t>
    </r>
  </si>
  <si>
    <r>
      <t>50.000 API-Requests pro Monat</t>
    </r>
    <r>
      <rPr>
        <sz val="11"/>
        <color theme="1"/>
        <rFont val="Calibri"/>
        <family val="2"/>
        <scheme val="minor"/>
      </rPr>
      <t>.</t>
    </r>
  </si>
  <si>
    <r>
      <t>Kosten: $0.03 pro 1.000 API-Requests</t>
    </r>
    <r>
      <rPr>
        <sz val="11"/>
        <color theme="1"/>
        <rFont val="Calibri"/>
        <family val="2"/>
        <scheme val="minor"/>
      </rPr>
      <t>.</t>
    </r>
  </si>
  <si>
    <r>
      <t>Kosten: (50.000 / 1.000) × $0.03 = $1.50 pro Monat</t>
    </r>
    <r>
      <rPr>
        <sz val="11"/>
        <color theme="1"/>
        <rFont val="Calibri"/>
        <family val="2"/>
        <scheme val="minor"/>
      </rPr>
      <t>.</t>
    </r>
  </si>
  <si>
    <r>
      <t>30% der Nutzer nutzen Google Login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30 Nutzer</t>
    </r>
    <r>
      <rPr>
        <sz val="11"/>
        <color theme="1"/>
        <rFont val="Calibri"/>
        <family val="2"/>
        <scheme val="minor"/>
      </rPr>
      <t>.</t>
    </r>
  </si>
  <si>
    <r>
      <t>Google Auth kostet extra bei Auth0: $0.01 pro Social Login</t>
    </r>
    <r>
      <rPr>
        <sz val="11"/>
        <color theme="1"/>
        <rFont val="Calibri"/>
        <family val="2"/>
        <scheme val="minor"/>
      </rPr>
      <t>.</t>
    </r>
  </si>
  <si>
    <r>
      <t>Kosten: 30 × $0.01 = $0.30 pro Monat</t>
    </r>
    <r>
      <rPr>
        <sz val="11"/>
        <color theme="1"/>
        <rFont val="Calibri"/>
        <family val="2"/>
        <scheme val="minor"/>
      </rPr>
      <t>.</t>
    </r>
  </si>
  <si>
    <t>User-Authentifizierungskosten (MAU-basiert)</t>
  </si>
  <si>
    <t>Authentifizierungsanfragen (Login-Requests)</t>
  </si>
  <si>
    <t>Machine-to-Machine (M2M) API-Anfragen</t>
  </si>
  <si>
    <t>Social Logins (Google Auth)</t>
  </si>
  <si>
    <t>Gesamtmonatliche Kosten für Beispiel-Szenario mit Auth0</t>
  </si>
  <si>
    <t>User-Authentifizierung (MAU-basiert)</t>
  </si>
  <si>
    <r>
      <t>$0.00</t>
    </r>
    <r>
      <rPr>
        <sz val="11"/>
        <color theme="1"/>
        <rFont val="Calibri"/>
        <family val="2"/>
        <scheme val="minor"/>
      </rPr>
      <t xml:space="preserve"> (kostenlos im Free Tier)</t>
    </r>
  </si>
  <si>
    <t>Login-Requests (500 Logins)</t>
  </si>
  <si>
    <t>$0.003</t>
  </si>
  <si>
    <t>M2M API-Anfragen (50.000 Requests)</t>
  </si>
  <si>
    <t>$1.50</t>
  </si>
  <si>
    <t>Social Logins (30 Google-Logins)</t>
  </si>
  <si>
    <t>$0.30</t>
  </si>
  <si>
    <t>$1.80 pro Monat</t>
  </si>
  <si>
    <t>Nutzeranzahl</t>
  </si>
  <si>
    <t>MAUs</t>
  </si>
  <si>
    <t>Logins</t>
  </si>
  <si>
    <t>M2M Requests</t>
  </si>
  <si>
    <t>Social Logins</t>
  </si>
  <si>
    <t>Geschätzte Kosten/Monat</t>
  </si>
  <si>
    <t>$1.80</t>
  </si>
  <si>
    <t>1.000 Nutzer</t>
  </si>
  <si>
    <t>$18.00</t>
  </si>
  <si>
    <t>10.000 Nutzer</t>
  </si>
  <si>
    <t>$180.00</t>
  </si>
  <si>
    <t>100.000 Nutzer</t>
  </si>
  <si>
    <t>$1.800,00</t>
  </si>
  <si>
    <t>Kosten Szenarien für steigende Nutzerzahlen</t>
  </si>
  <si>
    <t>AWS S3 Kosten-Szenarien für steigende Nutzung</t>
  </si>
  <si>
    <t>IAM AuthO (pro 100 Nutzer)</t>
  </si>
  <si>
    <t>Essential</t>
  </si>
  <si>
    <t>Growth</t>
  </si>
  <si>
    <t>Beyond</t>
  </si>
  <si>
    <t>Package Creatomate</t>
  </si>
  <si>
    <t>Source: https://creatomate.com/docs/account-billing/credit-calculation</t>
  </si>
  <si>
    <t>Information: 1 credit is 100 million pixel output</t>
  </si>
  <si>
    <r>
      <t>A video rendered at</t>
    </r>
    <r>
      <rPr>
        <b/>
        <sz val="11"/>
        <color theme="1"/>
        <rFont val="Calibri"/>
        <family val="2"/>
        <scheme val="minor"/>
      </rPr>
      <t xml:space="preserve"> 720p</t>
    </r>
    <r>
      <rPr>
        <sz val="11"/>
        <color theme="1"/>
        <rFont val="Calibri"/>
        <family val="2"/>
        <scheme val="minor"/>
      </rPr>
      <t xml:space="preserve"> (1280 by 720) with a frame rate of </t>
    </r>
    <r>
      <rPr>
        <b/>
        <sz val="11"/>
        <color theme="1"/>
        <rFont val="Calibri"/>
        <family val="2"/>
        <scheme val="minor"/>
      </rPr>
      <t>25 fps</t>
    </r>
    <r>
      <rPr>
        <sz val="11"/>
        <color theme="1"/>
        <rFont val="Calibri"/>
        <family val="2"/>
        <scheme val="minor"/>
      </rPr>
      <t xml:space="preserve"> and a length of </t>
    </r>
    <r>
      <rPr>
        <b/>
        <sz val="11"/>
        <color theme="1"/>
        <rFont val="Calibri"/>
        <family val="2"/>
        <scheme val="minor"/>
      </rPr>
      <t>10 seconds</t>
    </r>
    <r>
      <rPr>
        <sz val="11"/>
        <color theme="1"/>
        <rFont val="Calibri"/>
        <family val="2"/>
        <scheme val="minor"/>
      </rPr>
      <t xml:space="preserve">, is a total of 1280 * 720 * 25 * 10 pixels, or about 230 million pixels, so </t>
    </r>
    <r>
      <rPr>
        <b/>
        <sz val="11"/>
        <color theme="1"/>
        <rFont val="Calibri"/>
        <family val="2"/>
        <scheme val="minor"/>
      </rPr>
      <t>2.3 credits</t>
    </r>
    <r>
      <rPr>
        <sz val="11"/>
        <color theme="1"/>
        <rFont val="Calibri"/>
        <family val="2"/>
        <scheme val="minor"/>
      </rPr>
      <t>.</t>
    </r>
  </si>
  <si>
    <t>A scene has a estimated length of 5-7 seconds; There is also the option to use images only for the assembly video</t>
  </si>
  <si>
    <t>One scene is estimated to cost around 1,25 credits</t>
  </si>
  <si>
    <t>Serverkosten (pro 100 Nutzer)</t>
  </si>
  <si>
    <t>Fixkosten Total</t>
  </si>
  <si>
    <t>Image and Voice</t>
  </si>
  <si>
    <t>Image to Video and Voice</t>
  </si>
  <si>
    <t>Image and Music</t>
  </si>
  <si>
    <t>Image and Voice and Music</t>
  </si>
  <si>
    <t>Image to Animation and Voice</t>
  </si>
  <si>
    <t>Image to Animation and Voice and Music</t>
  </si>
  <si>
    <t>Image to Video and Voice and Music</t>
  </si>
  <si>
    <t>Image (Basic Package)</t>
  </si>
  <si>
    <t>Image to Animation</t>
  </si>
  <si>
    <t>Image to Video</t>
  </si>
  <si>
    <t>Services</t>
  </si>
  <si>
    <t>Webpage Registrierung (pro Monat)</t>
  </si>
  <si>
    <t>oAUth Package (Essentials)</t>
  </si>
  <si>
    <t>Information: For calculation of the service overview we considered for each service the most expensive package. Depending on traffic, user amount and usage we can select a different package and also increase monthly payment to yearly payment (when the software is succesful) which would decrease the cost for each service. This should be considered in pricing.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</si>
</sst>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wrapText="1"/>
    </xf>
    <xf numFmtId="165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horizontal="left" vertical="center" indent="2"/>
    </xf>
    <xf numFmtId="0" fontId="0" fillId="3" borderId="0" xfId="0" applyFill="1" applyAlignment="1">
      <alignment horizontal="left" vertical="center" indent="1"/>
    </xf>
    <xf numFmtId="0" fontId="1" fillId="4" borderId="0" xfId="0" applyFont="1" applyFill="1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4" fontId="0" fillId="0" borderId="0" xfId="0" applyNumberFormat="1"/>
    <xf numFmtId="0" fontId="0" fillId="4" borderId="0" xfId="0" applyFill="1"/>
    <xf numFmtId="0" fontId="1" fillId="3" borderId="0" xfId="0" applyFont="1" applyFill="1" applyAlignment="1">
      <alignment horizontal="left" vertical="center" indent="1"/>
    </xf>
    <xf numFmtId="0" fontId="0" fillId="3" borderId="0" xfId="0" applyFill="1"/>
    <xf numFmtId="0" fontId="5" fillId="2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topLeftCell="D1" zoomScale="70" zoomScaleNormal="70" workbookViewId="0">
      <selection activeCell="H17" sqref="H17"/>
    </sheetView>
  </sheetViews>
  <sheetFormatPr baseColWidth="10" defaultColWidth="8.7265625" defaultRowHeight="14.5" x14ac:dyDescent="0.35"/>
  <cols>
    <col min="1" max="1" width="30.26953125" customWidth="1"/>
    <col min="2" max="2" width="13.453125" customWidth="1"/>
    <col min="3" max="3" width="13.26953125" customWidth="1"/>
    <col min="4" max="4" width="12.54296875" customWidth="1"/>
    <col min="5" max="5" width="15.54296875" customWidth="1"/>
    <col min="6" max="6" width="14.453125" bestFit="1" customWidth="1"/>
    <col min="7" max="7" width="22.7265625" customWidth="1"/>
    <col min="8" max="8" width="25.90625" bestFit="1" customWidth="1"/>
    <col min="9" max="9" width="26.90625" customWidth="1"/>
    <col min="10" max="10" width="25.7265625" customWidth="1"/>
    <col min="11" max="11" width="23.6328125" customWidth="1"/>
    <col min="12" max="12" width="36.36328125" customWidth="1"/>
    <col min="13" max="13" width="31.453125" customWidth="1"/>
    <col min="14" max="14" width="14.1796875" customWidth="1"/>
    <col min="15" max="15" width="14.26953125" customWidth="1"/>
    <col min="16" max="16" width="20.26953125" customWidth="1"/>
    <col min="17" max="17" width="17.90625" customWidth="1"/>
  </cols>
  <sheetData>
    <row r="1" spans="1:15" s="1" customFormat="1" x14ac:dyDescent="0.35">
      <c r="A1" s="1" t="s">
        <v>23</v>
      </c>
      <c r="B1" s="1" t="s">
        <v>104</v>
      </c>
      <c r="C1" s="28" t="s">
        <v>241</v>
      </c>
      <c r="D1" s="28"/>
      <c r="E1" s="28"/>
      <c r="F1" s="28" t="s">
        <v>1</v>
      </c>
      <c r="G1" s="28"/>
      <c r="H1" s="28"/>
      <c r="I1" s="1" t="s">
        <v>3</v>
      </c>
      <c r="J1" s="28" t="s">
        <v>4</v>
      </c>
      <c r="K1" s="28"/>
      <c r="L1" s="28" t="s">
        <v>105</v>
      </c>
      <c r="M1" s="28"/>
      <c r="N1" s="28" t="s">
        <v>110</v>
      </c>
      <c r="O1" s="28"/>
    </row>
    <row r="2" spans="1:15" s="1" customFormat="1" ht="29" x14ac:dyDescent="0.35">
      <c r="C2" s="1" t="s">
        <v>37</v>
      </c>
      <c r="D2" s="1" t="s">
        <v>38</v>
      </c>
      <c r="E2" s="6" t="s">
        <v>73</v>
      </c>
      <c r="F2" s="1" t="s">
        <v>37</v>
      </c>
      <c r="G2" s="1" t="s">
        <v>38</v>
      </c>
      <c r="H2" s="6" t="s">
        <v>72</v>
      </c>
      <c r="I2" s="6"/>
      <c r="J2" s="6" t="s">
        <v>101</v>
      </c>
      <c r="K2" s="6" t="s">
        <v>102</v>
      </c>
      <c r="L2" s="1" t="s">
        <v>37</v>
      </c>
      <c r="M2" s="1" t="s">
        <v>38</v>
      </c>
      <c r="N2" s="1" t="s">
        <v>37</v>
      </c>
      <c r="O2" s="1" t="s">
        <v>38</v>
      </c>
    </row>
    <row r="3" spans="1:15" x14ac:dyDescent="0.35">
      <c r="A3">
        <v>1</v>
      </c>
      <c r="B3" s="3">
        <f>LLM!$D$2</f>
        <v>9.6000000000000002E-2</v>
      </c>
      <c r="C3" s="2">
        <f>Image!$F$2*A3</f>
        <v>0.04</v>
      </c>
      <c r="D3" s="2">
        <f>Image!$G$2*A3</f>
        <v>0.05</v>
      </c>
      <c r="E3" s="2">
        <f>Image!$F$9*A3</f>
        <v>6.6666666666666666E-2</v>
      </c>
      <c r="F3" s="2">
        <f>Voice!$G$2*A3</f>
        <v>1.3899999999999999E-2</v>
      </c>
      <c r="G3" s="2">
        <f>Voice!$H$2*A3</f>
        <v>1.6666666666666666E-2</v>
      </c>
      <c r="H3" s="2">
        <f>Voice!$G$11*A3</f>
        <v>0.03</v>
      </c>
      <c r="I3" s="2">
        <f>Animation!$E$3*A3</f>
        <v>0.2</v>
      </c>
      <c r="J3" s="2">
        <f>Video!$E$13*A3</f>
        <v>0.41600000000000004</v>
      </c>
      <c r="K3" s="2">
        <f>Video!$F$13*A3</f>
        <v>0.79360000000000008</v>
      </c>
      <c r="L3" s="7">
        <f>Music!$F$24</f>
        <v>5.7236363636363634E-2</v>
      </c>
      <c r="M3" s="2">
        <f>Music!$F$26</f>
        <v>6.123636363636363E-2</v>
      </c>
      <c r="N3" s="2">
        <f>Assembly!$G$2*A3</f>
        <v>2.5625000000000002E-2</v>
      </c>
      <c r="O3" s="2">
        <f>Assembly!$H$2*A3</f>
        <v>3.0624999999999999E-2</v>
      </c>
    </row>
    <row r="4" spans="1:15" x14ac:dyDescent="0.35">
      <c r="A4">
        <v>2</v>
      </c>
      <c r="B4" s="3">
        <f>LLM!$D$2</f>
        <v>9.6000000000000002E-2</v>
      </c>
      <c r="C4" s="2">
        <f>Image!$F$2*A4</f>
        <v>0.08</v>
      </c>
      <c r="D4" s="2">
        <f>Image!$G$2*A4</f>
        <v>0.1</v>
      </c>
      <c r="E4" s="2">
        <f>Image!$F$9*A4</f>
        <v>0.13333333333333333</v>
      </c>
      <c r="F4" s="2">
        <f>Voice!$G$2*A4</f>
        <v>2.7799999999999998E-2</v>
      </c>
      <c r="G4" s="2">
        <f>Voice!$H$2*A4</f>
        <v>3.3333333333333333E-2</v>
      </c>
      <c r="H4" s="2">
        <f>Voice!$G$11*A4</f>
        <v>0.06</v>
      </c>
      <c r="I4" s="2">
        <f>Animation!$E$3*A4</f>
        <v>0.4</v>
      </c>
      <c r="J4" s="2">
        <f>Video!$E$13*A4</f>
        <v>0.83200000000000007</v>
      </c>
      <c r="K4" s="2">
        <f>Video!$F$13*A4</f>
        <v>1.5872000000000002</v>
      </c>
      <c r="L4" s="7">
        <f>Music!$F$24</f>
        <v>5.7236363636363634E-2</v>
      </c>
      <c r="M4" s="2">
        <f>Music!$F$26</f>
        <v>6.123636363636363E-2</v>
      </c>
      <c r="N4" s="2">
        <f>Assembly!$G$2*A4</f>
        <v>5.1250000000000004E-2</v>
      </c>
      <c r="O4" s="2">
        <f>Assembly!$H$2*A4</f>
        <v>6.1249999999999999E-2</v>
      </c>
    </row>
    <row r="5" spans="1:15" x14ac:dyDescent="0.35">
      <c r="A5">
        <v>3</v>
      </c>
      <c r="B5" s="3">
        <f>LLM!$D$2</f>
        <v>9.6000000000000002E-2</v>
      </c>
      <c r="C5" s="2">
        <f>Image!$F$2*A5</f>
        <v>0.12</v>
      </c>
      <c r="D5" s="2">
        <f>Image!$G$2*A5</f>
        <v>0.15000000000000002</v>
      </c>
      <c r="E5" s="2">
        <f>Image!$F$9*A5</f>
        <v>0.2</v>
      </c>
      <c r="F5" s="2">
        <f>Voice!$G$2*A5</f>
        <v>4.1700000000000001E-2</v>
      </c>
      <c r="G5" s="2">
        <f>Voice!$H$2*A5</f>
        <v>0.05</v>
      </c>
      <c r="H5" s="2">
        <f>Voice!$G$11*A5</f>
        <v>0.09</v>
      </c>
      <c r="I5" s="2">
        <f>Animation!$E$3*A5</f>
        <v>0.60000000000000009</v>
      </c>
      <c r="J5" s="2">
        <f>Video!$E$13*A5</f>
        <v>1.2480000000000002</v>
      </c>
      <c r="K5" s="2">
        <f>Video!$F$13*A5</f>
        <v>2.3808000000000002</v>
      </c>
      <c r="L5" s="7">
        <f>Music!$F$24</f>
        <v>5.7236363636363634E-2</v>
      </c>
      <c r="M5" s="2">
        <f>Music!$F$26</f>
        <v>6.123636363636363E-2</v>
      </c>
      <c r="N5" s="2">
        <f>Assembly!$G$2*A5</f>
        <v>7.6874999999999999E-2</v>
      </c>
      <c r="O5" s="2">
        <f>Assembly!$H$2*A5</f>
        <v>9.1874999999999998E-2</v>
      </c>
    </row>
    <row r="6" spans="1:15" x14ac:dyDescent="0.35">
      <c r="A6">
        <v>4</v>
      </c>
      <c r="B6" s="3">
        <f>LLM!$D$2</f>
        <v>9.6000000000000002E-2</v>
      </c>
      <c r="C6" s="2">
        <f>Image!$F$2*A6</f>
        <v>0.16</v>
      </c>
      <c r="D6" s="2">
        <f>Image!$G$2*A6</f>
        <v>0.2</v>
      </c>
      <c r="E6" s="2">
        <f>Image!$F$9*A6</f>
        <v>0.26666666666666666</v>
      </c>
      <c r="F6" s="2">
        <f>Voice!$G$2*A6</f>
        <v>5.5599999999999997E-2</v>
      </c>
      <c r="G6" s="2">
        <f>Voice!$H$2*A6</f>
        <v>6.6666666666666666E-2</v>
      </c>
      <c r="H6" s="2">
        <f>Voice!$G$11*A6</f>
        <v>0.12</v>
      </c>
      <c r="I6" s="2">
        <f>Animation!$E$3*A6</f>
        <v>0.8</v>
      </c>
      <c r="J6" s="2">
        <f>Video!$E$13*A6</f>
        <v>1.6640000000000001</v>
      </c>
      <c r="K6" s="2">
        <f>Video!$F$13*A6</f>
        <v>3.1744000000000003</v>
      </c>
      <c r="L6" s="7">
        <f>Music!$F$24</f>
        <v>5.7236363636363634E-2</v>
      </c>
      <c r="M6" s="2">
        <f>Music!$F$26</f>
        <v>6.123636363636363E-2</v>
      </c>
      <c r="N6" s="2">
        <f>Assembly!$G$2*A6</f>
        <v>0.10250000000000001</v>
      </c>
      <c r="O6" s="2">
        <f>Assembly!$H$2*A6</f>
        <v>0.1225</v>
      </c>
    </row>
    <row r="7" spans="1:15" x14ac:dyDescent="0.35">
      <c r="A7">
        <v>5</v>
      </c>
      <c r="B7" s="3">
        <f>LLM!$D$2</f>
        <v>9.6000000000000002E-2</v>
      </c>
      <c r="C7" s="2">
        <f>Image!$F$2*A7</f>
        <v>0.2</v>
      </c>
      <c r="D7" s="2">
        <f>Image!$G$2*A7</f>
        <v>0.25</v>
      </c>
      <c r="E7" s="2">
        <f>Image!$F$9*A7</f>
        <v>0.33333333333333331</v>
      </c>
      <c r="F7" s="2">
        <f>Voice!$G$2*A7</f>
        <v>6.9499999999999992E-2</v>
      </c>
      <c r="G7" s="2">
        <f>Voice!$H$2*A7</f>
        <v>8.3333333333333329E-2</v>
      </c>
      <c r="H7" s="2">
        <f>Voice!$G$11*A7</f>
        <v>0.15</v>
      </c>
      <c r="I7" s="2">
        <f>Animation!$E$3*A7</f>
        <v>1</v>
      </c>
      <c r="J7" s="2">
        <f>Video!$E$13*A7</f>
        <v>2.08</v>
      </c>
      <c r="K7" s="2">
        <f>Video!$F$13*A7</f>
        <v>3.9680000000000004</v>
      </c>
      <c r="L7" s="7">
        <f>Music!$F$24</f>
        <v>5.7236363636363634E-2</v>
      </c>
      <c r="M7" s="2">
        <f>Music!$F$26</f>
        <v>6.123636363636363E-2</v>
      </c>
      <c r="N7" s="2">
        <f>Assembly!$G$2*A7</f>
        <v>0.12812500000000002</v>
      </c>
      <c r="O7" s="2">
        <f>Assembly!$H$2*A7</f>
        <v>0.15312500000000001</v>
      </c>
    </row>
    <row r="8" spans="1:15" x14ac:dyDescent="0.35">
      <c r="A8">
        <v>6</v>
      </c>
      <c r="B8" s="3">
        <f>LLM!$D$2</f>
        <v>9.6000000000000002E-2</v>
      </c>
      <c r="C8" s="2">
        <f>Image!$F$2*A8</f>
        <v>0.24</v>
      </c>
      <c r="D8" s="2">
        <f>Image!$G$2*A8</f>
        <v>0.30000000000000004</v>
      </c>
      <c r="E8" s="2">
        <f>Image!$F$9*A8</f>
        <v>0.4</v>
      </c>
      <c r="F8" s="2">
        <f>Voice!$G$2*A8</f>
        <v>8.3400000000000002E-2</v>
      </c>
      <c r="G8" s="2">
        <f>Voice!$H$2*A8</f>
        <v>0.1</v>
      </c>
      <c r="H8" s="2">
        <f>Voice!$G$11*A8</f>
        <v>0.18</v>
      </c>
      <c r="I8" s="2">
        <f>Animation!$E$3*A8</f>
        <v>1.2000000000000002</v>
      </c>
      <c r="J8" s="2">
        <f>Video!$E$13*A8</f>
        <v>2.4960000000000004</v>
      </c>
      <c r="K8" s="2">
        <f>Video!$F$13*A8</f>
        <v>4.7616000000000005</v>
      </c>
      <c r="L8" s="7">
        <f>Music!$F$24</f>
        <v>5.7236363636363634E-2</v>
      </c>
      <c r="M8" s="2">
        <f>Music!$F$26</f>
        <v>6.123636363636363E-2</v>
      </c>
      <c r="N8" s="2">
        <f>Assembly!$G$2*A8</f>
        <v>0.15375</v>
      </c>
      <c r="O8" s="2">
        <f>Assembly!$H$2*A8</f>
        <v>0.18375</v>
      </c>
    </row>
    <row r="9" spans="1:15" x14ac:dyDescent="0.35">
      <c r="A9">
        <v>7</v>
      </c>
      <c r="B9" s="3">
        <f>LLM!$D$2</f>
        <v>9.6000000000000002E-2</v>
      </c>
      <c r="C9" s="2">
        <f>Image!$F$2*A9</f>
        <v>0.28000000000000003</v>
      </c>
      <c r="D9" s="2">
        <f>Image!$G$2*A9</f>
        <v>0.35000000000000003</v>
      </c>
      <c r="E9" s="2">
        <f>Image!$F$9*A9</f>
        <v>0.46666666666666667</v>
      </c>
      <c r="F9" s="2">
        <f>Voice!$G$2*A9</f>
        <v>9.7299999999999998E-2</v>
      </c>
      <c r="G9" s="2">
        <f>Voice!$H$2*A9</f>
        <v>0.11666666666666667</v>
      </c>
      <c r="H9" s="2">
        <f>Voice!$G$11*A9</f>
        <v>0.21</v>
      </c>
      <c r="I9" s="2">
        <f>Animation!$E$3*A9</f>
        <v>1.4000000000000001</v>
      </c>
      <c r="J9" s="2">
        <f>Video!$E$13*A9</f>
        <v>2.9120000000000004</v>
      </c>
      <c r="K9" s="2">
        <f>Video!$F$13*A9</f>
        <v>5.555200000000001</v>
      </c>
      <c r="L9" s="7">
        <f>Music!$F$24</f>
        <v>5.7236363636363634E-2</v>
      </c>
      <c r="M9" s="2">
        <f>Music!$F$26</f>
        <v>6.123636363636363E-2</v>
      </c>
      <c r="N9" s="2">
        <f>Assembly!$G$2*A9</f>
        <v>0.17937500000000001</v>
      </c>
      <c r="O9" s="2">
        <f>Assembly!$H$2*A9</f>
        <v>0.21437499999999998</v>
      </c>
    </row>
    <row r="10" spans="1:15" x14ac:dyDescent="0.35">
      <c r="A10">
        <v>8</v>
      </c>
      <c r="B10" s="3">
        <f>LLM!$D$2</f>
        <v>9.6000000000000002E-2</v>
      </c>
      <c r="C10" s="2">
        <f>Image!$F$2*A10</f>
        <v>0.32</v>
      </c>
      <c r="D10" s="2">
        <f>Image!$G$2*A10</f>
        <v>0.4</v>
      </c>
      <c r="E10" s="2">
        <f>Image!$F$9*A10</f>
        <v>0.53333333333333333</v>
      </c>
      <c r="F10" s="2">
        <f>Voice!$G$2*A10</f>
        <v>0.11119999999999999</v>
      </c>
      <c r="G10" s="2">
        <f>Voice!$H$2*A10</f>
        <v>0.13333333333333333</v>
      </c>
      <c r="H10" s="2">
        <f>Voice!$G$11*A10</f>
        <v>0.24</v>
      </c>
      <c r="I10" s="2">
        <f>Animation!$E$3*A10</f>
        <v>1.6</v>
      </c>
      <c r="J10" s="2">
        <f>Video!$E$13*A10</f>
        <v>3.3280000000000003</v>
      </c>
      <c r="K10" s="2">
        <f>Video!$F$13*A10</f>
        <v>6.3488000000000007</v>
      </c>
      <c r="L10" s="7">
        <f>Music!$F$24</f>
        <v>5.7236363636363634E-2</v>
      </c>
      <c r="M10" s="2">
        <f>Music!$F$26</f>
        <v>6.123636363636363E-2</v>
      </c>
      <c r="N10" s="2">
        <f>Assembly!$G$2*A10</f>
        <v>0.20500000000000002</v>
      </c>
      <c r="O10" s="2">
        <f>Assembly!$H$2*A10</f>
        <v>0.245</v>
      </c>
    </row>
    <row r="11" spans="1:15" x14ac:dyDescent="0.35">
      <c r="A11">
        <v>9</v>
      </c>
      <c r="B11" s="3">
        <f>LLM!$D$2</f>
        <v>9.6000000000000002E-2</v>
      </c>
      <c r="C11" s="2">
        <f>Image!$F$2*A11</f>
        <v>0.36</v>
      </c>
      <c r="D11" s="2">
        <f>Image!$G$2*A11</f>
        <v>0.45</v>
      </c>
      <c r="E11" s="2">
        <f>Image!$F$9*A11</f>
        <v>0.6</v>
      </c>
      <c r="F11" s="2">
        <f>Voice!$G$2*A11</f>
        <v>0.12509999999999999</v>
      </c>
      <c r="G11" s="2">
        <f>Voice!$H$2*A11</f>
        <v>0.15</v>
      </c>
      <c r="H11" s="2">
        <f>Voice!$G$11*A11</f>
        <v>0.27</v>
      </c>
      <c r="I11" s="2">
        <f>Animation!$E$3*A11</f>
        <v>1.8</v>
      </c>
      <c r="J11" s="2">
        <f>Video!$E$13*A11</f>
        <v>3.7440000000000002</v>
      </c>
      <c r="K11" s="2">
        <f>Video!$F$13*A11</f>
        <v>7.1424000000000003</v>
      </c>
      <c r="L11" s="7">
        <f>Music!$F$24</f>
        <v>5.7236363636363634E-2</v>
      </c>
      <c r="M11" s="2">
        <f>Music!$F$26</f>
        <v>6.123636363636363E-2</v>
      </c>
      <c r="N11" s="2">
        <f>Assembly!$G$2*A11</f>
        <v>0.23062500000000002</v>
      </c>
      <c r="O11" s="2">
        <f>Assembly!$H$2*A11</f>
        <v>0.27562500000000001</v>
      </c>
    </row>
    <row r="12" spans="1:15" x14ac:dyDescent="0.35">
      <c r="A12">
        <v>10</v>
      </c>
      <c r="B12" s="3">
        <f>LLM!$D$2</f>
        <v>9.6000000000000002E-2</v>
      </c>
      <c r="C12" s="2">
        <f>Image!$F$2*A12</f>
        <v>0.4</v>
      </c>
      <c r="D12" s="2">
        <f>Image!$G$2*A12</f>
        <v>0.5</v>
      </c>
      <c r="E12" s="2">
        <f>Image!$F$9*A12</f>
        <v>0.66666666666666663</v>
      </c>
      <c r="F12" s="2">
        <f>Voice!$G$2*A12</f>
        <v>0.13899999999999998</v>
      </c>
      <c r="G12" s="2">
        <f>Voice!$H$2*A12</f>
        <v>0.16666666666666666</v>
      </c>
      <c r="H12" s="2">
        <f>Voice!$G$11*A12</f>
        <v>0.3</v>
      </c>
      <c r="I12" s="2">
        <f>Animation!$E$3*A12</f>
        <v>2</v>
      </c>
      <c r="J12" s="2">
        <f>Video!$E$13*A12</f>
        <v>4.16</v>
      </c>
      <c r="K12" s="2">
        <f>Video!$F$13*A12</f>
        <v>7.9360000000000008</v>
      </c>
      <c r="L12" s="7">
        <f>Music!$F$24</f>
        <v>5.7236363636363634E-2</v>
      </c>
      <c r="M12" s="2">
        <f>Music!$F$26</f>
        <v>6.123636363636363E-2</v>
      </c>
      <c r="N12" s="2">
        <f>Assembly!$G$2*A12</f>
        <v>0.25625000000000003</v>
      </c>
      <c r="O12" s="2">
        <f>Assembly!$H$2*A12</f>
        <v>0.30625000000000002</v>
      </c>
    </row>
    <row r="13" spans="1:15" ht="15" thickBot="1" x14ac:dyDescent="0.4"/>
    <row r="14" spans="1:15" x14ac:dyDescent="0.35">
      <c r="A14" s="1" t="s">
        <v>112</v>
      </c>
      <c r="I14" s="29" t="s">
        <v>247</v>
      </c>
      <c r="J14" s="30"/>
      <c r="K14" s="30"/>
      <c r="L14" s="30"/>
      <c r="M14" s="30"/>
      <c r="N14" s="31"/>
    </row>
    <row r="15" spans="1:15" x14ac:dyDescent="0.35">
      <c r="A15" t="s">
        <v>106</v>
      </c>
      <c r="B15">
        <v>21</v>
      </c>
      <c r="I15" s="32"/>
      <c r="J15" s="33"/>
      <c r="K15" s="33"/>
      <c r="L15" s="33"/>
      <c r="M15" s="33"/>
      <c r="N15" s="34"/>
    </row>
    <row r="16" spans="1:15" x14ac:dyDescent="0.35">
      <c r="A16" t="s">
        <v>107</v>
      </c>
      <c r="B16">
        <v>6</v>
      </c>
      <c r="I16" s="32"/>
      <c r="J16" s="33"/>
      <c r="K16" s="33"/>
      <c r="L16" s="33"/>
      <c r="M16" s="33"/>
      <c r="N16" s="34"/>
    </row>
    <row r="17" spans="1:14" x14ac:dyDescent="0.35">
      <c r="A17" t="s">
        <v>108</v>
      </c>
      <c r="B17">
        <v>20</v>
      </c>
      <c r="I17" s="32"/>
      <c r="J17" s="33"/>
      <c r="K17" s="33"/>
      <c r="L17" s="33"/>
      <c r="M17" s="33"/>
      <c r="N17" s="34"/>
    </row>
    <row r="18" spans="1:14" x14ac:dyDescent="0.35">
      <c r="A18" t="s">
        <v>109</v>
      </c>
      <c r="B18">
        <v>6</v>
      </c>
      <c r="I18" s="32"/>
      <c r="J18" s="33"/>
      <c r="K18" s="33"/>
      <c r="L18" s="33"/>
      <c r="M18" s="33"/>
      <c r="N18" s="34"/>
    </row>
    <row r="19" spans="1:14" ht="15" thickBot="1" x14ac:dyDescent="0.4">
      <c r="A19" t="s">
        <v>245</v>
      </c>
      <c r="B19">
        <v>5</v>
      </c>
      <c r="I19" s="35"/>
      <c r="J19" s="36"/>
      <c r="K19" s="36"/>
      <c r="L19" s="36"/>
      <c r="M19" s="36"/>
      <c r="N19" s="37"/>
    </row>
    <row r="20" spans="1:14" x14ac:dyDescent="0.35">
      <c r="A20" t="s">
        <v>246</v>
      </c>
      <c r="B20">
        <v>35</v>
      </c>
      <c r="I20" s="5"/>
      <c r="J20" s="5"/>
      <c r="K20" s="5"/>
      <c r="L20" s="5"/>
      <c r="M20" s="5"/>
      <c r="N20" s="5"/>
    </row>
    <row r="21" spans="1:14" x14ac:dyDescent="0.35">
      <c r="A21" t="s">
        <v>169</v>
      </c>
      <c r="B21">
        <v>5</v>
      </c>
      <c r="I21" s="5"/>
      <c r="J21" s="5"/>
      <c r="K21" s="5"/>
      <c r="L21" s="5"/>
      <c r="M21" s="5"/>
      <c r="N21" s="5"/>
    </row>
    <row r="22" spans="1:14" x14ac:dyDescent="0.35">
      <c r="A22" t="s">
        <v>222</v>
      </c>
      <c r="B22">
        <v>10</v>
      </c>
      <c r="I22" s="5"/>
      <c r="J22" s="5"/>
      <c r="K22" s="5"/>
      <c r="L22" s="5"/>
      <c r="M22" s="5"/>
      <c r="N22" s="5"/>
    </row>
    <row r="23" spans="1:14" x14ac:dyDescent="0.35">
      <c r="A23" t="s">
        <v>232</v>
      </c>
      <c r="B23">
        <v>30</v>
      </c>
      <c r="I23" s="5"/>
      <c r="J23" s="5"/>
      <c r="K23" s="5"/>
      <c r="L23" s="5"/>
      <c r="M23" s="5"/>
      <c r="N23" s="5"/>
    </row>
    <row r="24" spans="1:14" x14ac:dyDescent="0.35">
      <c r="A24" s="26" t="s">
        <v>233</v>
      </c>
      <c r="B24" s="26">
        <f>SUM(B15:B23)</f>
        <v>138</v>
      </c>
    </row>
    <row r="26" spans="1:14" ht="14.5" customHeight="1" x14ac:dyDescent="0.35">
      <c r="A26" s="1" t="s">
        <v>111</v>
      </c>
    </row>
    <row r="27" spans="1:14" x14ac:dyDescent="0.35">
      <c r="B27" t="s">
        <v>244</v>
      </c>
    </row>
    <row r="28" spans="1:14" x14ac:dyDescent="0.35">
      <c r="A28" t="s">
        <v>5</v>
      </c>
      <c r="B28" t="s">
        <v>0</v>
      </c>
      <c r="C28" t="s">
        <v>1</v>
      </c>
      <c r="D28" t="s">
        <v>2</v>
      </c>
      <c r="E28" t="s">
        <v>236</v>
      </c>
      <c r="F28" t="s">
        <v>234</v>
      </c>
      <c r="G28" t="s">
        <v>237</v>
      </c>
      <c r="H28" t="s">
        <v>242</v>
      </c>
      <c r="I28" t="s">
        <v>243</v>
      </c>
      <c r="J28" t="s">
        <v>238</v>
      </c>
      <c r="K28" t="s">
        <v>235</v>
      </c>
      <c r="L28" t="s">
        <v>239</v>
      </c>
      <c r="M28" t="s">
        <v>240</v>
      </c>
    </row>
    <row r="29" spans="1:14" x14ac:dyDescent="0.35">
      <c r="A29">
        <v>1</v>
      </c>
      <c r="B29" s="2">
        <f t="shared" ref="B29:B38" si="0">D3</f>
        <v>0.05</v>
      </c>
      <c r="C29" s="2">
        <f t="shared" ref="C29:C38" si="1">G3</f>
        <v>1.6666666666666666E-2</v>
      </c>
      <c r="D29" s="2">
        <f t="shared" ref="D29:D38" si="2">M3</f>
        <v>6.123636363636363E-2</v>
      </c>
      <c r="E29" s="2">
        <f>B29+D29</f>
        <v>0.11123636363636363</v>
      </c>
      <c r="F29" s="2">
        <f>B29+C29</f>
        <v>6.6666666666666666E-2</v>
      </c>
      <c r="G29" s="2">
        <f>B29+C29+D29</f>
        <v>0.1279030303030303</v>
      </c>
      <c r="H29" s="2">
        <f t="shared" ref="H29:H38" si="3">B29+I3</f>
        <v>0.25</v>
      </c>
      <c r="I29" s="2">
        <f t="shared" ref="I29:I38" si="4">B29+J3</f>
        <v>0.46600000000000003</v>
      </c>
      <c r="J29" s="2">
        <f>H29+C29</f>
        <v>0.26666666666666666</v>
      </c>
      <c r="K29" s="2">
        <f>I29+C29</f>
        <v>0.48266666666666669</v>
      </c>
      <c r="L29" s="2">
        <f>J29+D29</f>
        <v>0.32790303030303031</v>
      </c>
      <c r="M29" s="2">
        <f>K29+D29</f>
        <v>0.54390303030303033</v>
      </c>
    </row>
    <row r="30" spans="1:14" x14ac:dyDescent="0.35">
      <c r="A30">
        <v>2</v>
      </c>
      <c r="B30" s="2">
        <f t="shared" si="0"/>
        <v>0.1</v>
      </c>
      <c r="C30" s="2">
        <f t="shared" si="1"/>
        <v>3.3333333333333333E-2</v>
      </c>
      <c r="D30" s="2">
        <f t="shared" si="2"/>
        <v>6.123636363636363E-2</v>
      </c>
      <c r="E30" s="2">
        <f t="shared" ref="E30:E38" si="5">B30+D30</f>
        <v>0.16123636363636362</v>
      </c>
      <c r="F30" s="2">
        <f t="shared" ref="F30:F38" si="6">B30+C30</f>
        <v>0.13333333333333333</v>
      </c>
      <c r="G30" s="2">
        <f t="shared" ref="G30:G38" si="7">B30+C30+D30</f>
        <v>0.19456969696969695</v>
      </c>
      <c r="H30" s="2">
        <f t="shared" si="3"/>
        <v>0.5</v>
      </c>
      <c r="I30" s="2">
        <f t="shared" si="4"/>
        <v>0.93200000000000005</v>
      </c>
      <c r="J30" s="2">
        <f t="shared" ref="J30:J38" si="8">H30+C30</f>
        <v>0.53333333333333333</v>
      </c>
      <c r="K30" s="2">
        <f t="shared" ref="K30:K38" si="9">I30+C30</f>
        <v>0.96533333333333338</v>
      </c>
      <c r="L30" s="2">
        <f t="shared" ref="L30:L38" si="10">J30+D30</f>
        <v>0.59456969696969697</v>
      </c>
      <c r="M30" s="2">
        <f t="shared" ref="M30:M38" si="11">K30+D30</f>
        <v>1.0265696969696969</v>
      </c>
    </row>
    <row r="31" spans="1:14" x14ac:dyDescent="0.35">
      <c r="A31">
        <v>3</v>
      </c>
      <c r="B31" s="2">
        <f t="shared" si="0"/>
        <v>0.15000000000000002</v>
      </c>
      <c r="C31" s="2">
        <f t="shared" si="1"/>
        <v>0.05</v>
      </c>
      <c r="D31" s="2">
        <f t="shared" si="2"/>
        <v>6.123636363636363E-2</v>
      </c>
      <c r="E31" s="2">
        <f t="shared" si="5"/>
        <v>0.21123636363636367</v>
      </c>
      <c r="F31" s="2">
        <f t="shared" si="6"/>
        <v>0.2</v>
      </c>
      <c r="G31" s="2">
        <f t="shared" si="7"/>
        <v>0.26123636363636366</v>
      </c>
      <c r="H31" s="2">
        <f t="shared" si="3"/>
        <v>0.75000000000000011</v>
      </c>
      <c r="I31" s="2">
        <f t="shared" si="4"/>
        <v>1.3980000000000001</v>
      </c>
      <c r="J31" s="2">
        <f t="shared" si="8"/>
        <v>0.80000000000000016</v>
      </c>
      <c r="K31" s="2">
        <f t="shared" si="9"/>
        <v>1.4480000000000002</v>
      </c>
      <c r="L31" s="2">
        <f t="shared" si="10"/>
        <v>0.8612363636363638</v>
      </c>
      <c r="M31" s="2">
        <f t="shared" si="11"/>
        <v>1.5092363636363637</v>
      </c>
    </row>
    <row r="32" spans="1:14" x14ac:dyDescent="0.35">
      <c r="A32">
        <v>4</v>
      </c>
      <c r="B32" s="2">
        <f t="shared" si="0"/>
        <v>0.2</v>
      </c>
      <c r="C32" s="2">
        <f t="shared" si="1"/>
        <v>6.6666666666666666E-2</v>
      </c>
      <c r="D32" s="2">
        <f t="shared" si="2"/>
        <v>6.123636363636363E-2</v>
      </c>
      <c r="E32" s="2">
        <f t="shared" si="5"/>
        <v>0.26123636363636366</v>
      </c>
      <c r="F32" s="2">
        <f t="shared" si="6"/>
        <v>0.26666666666666666</v>
      </c>
      <c r="G32" s="2">
        <f t="shared" si="7"/>
        <v>0.32790303030303031</v>
      </c>
      <c r="H32" s="2">
        <f t="shared" si="3"/>
        <v>1</v>
      </c>
      <c r="I32" s="2">
        <f t="shared" si="4"/>
        <v>1.8640000000000001</v>
      </c>
      <c r="J32" s="2">
        <f t="shared" si="8"/>
        <v>1.0666666666666667</v>
      </c>
      <c r="K32" s="2">
        <f t="shared" si="9"/>
        <v>1.9306666666666668</v>
      </c>
      <c r="L32" s="2">
        <f t="shared" si="10"/>
        <v>1.1279030303030302</v>
      </c>
      <c r="M32" s="2">
        <f t="shared" si="11"/>
        <v>1.9919030303030303</v>
      </c>
    </row>
    <row r="33" spans="1:13" x14ac:dyDescent="0.35">
      <c r="A33">
        <v>5</v>
      </c>
      <c r="B33" s="2">
        <f t="shared" si="0"/>
        <v>0.25</v>
      </c>
      <c r="C33" s="2">
        <f t="shared" si="1"/>
        <v>8.3333333333333329E-2</v>
      </c>
      <c r="D33" s="2">
        <f t="shared" si="2"/>
        <v>6.123636363636363E-2</v>
      </c>
      <c r="E33" s="2">
        <f t="shared" si="5"/>
        <v>0.31123636363636364</v>
      </c>
      <c r="F33" s="2">
        <f t="shared" si="6"/>
        <v>0.33333333333333331</v>
      </c>
      <c r="G33" s="2">
        <f t="shared" si="7"/>
        <v>0.39456969696969696</v>
      </c>
      <c r="H33" s="2">
        <f t="shared" si="3"/>
        <v>1.25</v>
      </c>
      <c r="I33" s="2">
        <f t="shared" si="4"/>
        <v>2.33</v>
      </c>
      <c r="J33" s="2">
        <f t="shared" si="8"/>
        <v>1.3333333333333333</v>
      </c>
      <c r="K33" s="2">
        <f t="shared" si="9"/>
        <v>2.4133333333333336</v>
      </c>
      <c r="L33" s="2">
        <f t="shared" si="10"/>
        <v>1.3945696969696968</v>
      </c>
      <c r="M33" s="2">
        <f t="shared" si="11"/>
        <v>2.4745696969696973</v>
      </c>
    </row>
    <row r="34" spans="1:13" x14ac:dyDescent="0.35">
      <c r="A34">
        <v>6</v>
      </c>
      <c r="B34" s="2">
        <f t="shared" si="0"/>
        <v>0.30000000000000004</v>
      </c>
      <c r="C34" s="2">
        <f t="shared" si="1"/>
        <v>0.1</v>
      </c>
      <c r="D34" s="2">
        <f t="shared" si="2"/>
        <v>6.123636363636363E-2</v>
      </c>
      <c r="E34" s="2">
        <f t="shared" si="5"/>
        <v>0.36123636363636369</v>
      </c>
      <c r="F34" s="2">
        <f t="shared" si="6"/>
        <v>0.4</v>
      </c>
      <c r="G34" s="2">
        <f t="shared" si="7"/>
        <v>0.46123636363636367</v>
      </c>
      <c r="H34" s="2">
        <f t="shared" si="3"/>
        <v>1.5000000000000002</v>
      </c>
      <c r="I34" s="2">
        <f t="shared" si="4"/>
        <v>2.7960000000000003</v>
      </c>
      <c r="J34" s="2">
        <f t="shared" si="8"/>
        <v>1.6000000000000003</v>
      </c>
      <c r="K34" s="2">
        <f t="shared" si="9"/>
        <v>2.8960000000000004</v>
      </c>
      <c r="L34" s="2">
        <f t="shared" si="10"/>
        <v>1.6612363636363638</v>
      </c>
      <c r="M34" s="2">
        <f t="shared" si="11"/>
        <v>2.9572363636363641</v>
      </c>
    </row>
    <row r="35" spans="1:13" x14ac:dyDescent="0.35">
      <c r="A35">
        <v>7</v>
      </c>
      <c r="B35" s="2">
        <f t="shared" si="0"/>
        <v>0.35000000000000003</v>
      </c>
      <c r="C35" s="2">
        <f t="shared" si="1"/>
        <v>0.11666666666666667</v>
      </c>
      <c r="D35" s="2">
        <f t="shared" si="2"/>
        <v>6.123636363636363E-2</v>
      </c>
      <c r="E35" s="2">
        <f t="shared" si="5"/>
        <v>0.41123636363636368</v>
      </c>
      <c r="F35" s="2">
        <f t="shared" si="6"/>
        <v>0.46666666666666667</v>
      </c>
      <c r="G35" s="2">
        <f t="shared" si="7"/>
        <v>0.52790303030303032</v>
      </c>
      <c r="H35" s="2">
        <f t="shared" si="3"/>
        <v>1.7500000000000002</v>
      </c>
      <c r="I35" s="2">
        <f t="shared" si="4"/>
        <v>3.2620000000000005</v>
      </c>
      <c r="J35" s="2">
        <f t="shared" si="8"/>
        <v>1.8666666666666669</v>
      </c>
      <c r="K35" s="2">
        <f t="shared" si="9"/>
        <v>3.3786666666666672</v>
      </c>
      <c r="L35" s="2">
        <f t="shared" si="10"/>
        <v>1.9279030303030305</v>
      </c>
      <c r="M35" s="2">
        <f t="shared" si="11"/>
        <v>3.4399030303030309</v>
      </c>
    </row>
    <row r="36" spans="1:13" x14ac:dyDescent="0.35">
      <c r="A36">
        <v>8</v>
      </c>
      <c r="B36" s="2">
        <f t="shared" si="0"/>
        <v>0.4</v>
      </c>
      <c r="C36" s="2">
        <f t="shared" si="1"/>
        <v>0.13333333333333333</v>
      </c>
      <c r="D36" s="2">
        <f t="shared" si="2"/>
        <v>6.123636363636363E-2</v>
      </c>
      <c r="E36" s="2">
        <f t="shared" si="5"/>
        <v>0.46123636363636367</v>
      </c>
      <c r="F36" s="2">
        <f t="shared" si="6"/>
        <v>0.53333333333333333</v>
      </c>
      <c r="G36" s="2">
        <f t="shared" si="7"/>
        <v>0.59456969696969697</v>
      </c>
      <c r="H36" s="2">
        <f t="shared" si="3"/>
        <v>2</v>
      </c>
      <c r="I36" s="2">
        <f t="shared" si="4"/>
        <v>3.7280000000000002</v>
      </c>
      <c r="J36" s="2">
        <f t="shared" si="8"/>
        <v>2.1333333333333333</v>
      </c>
      <c r="K36" s="2">
        <f t="shared" si="9"/>
        <v>3.8613333333333335</v>
      </c>
      <c r="L36" s="2">
        <f t="shared" si="10"/>
        <v>2.1945696969696971</v>
      </c>
      <c r="M36" s="2">
        <f t="shared" si="11"/>
        <v>3.9225696969696973</v>
      </c>
    </row>
    <row r="37" spans="1:13" x14ac:dyDescent="0.35">
      <c r="A37">
        <v>9</v>
      </c>
      <c r="B37" s="2">
        <f t="shared" si="0"/>
        <v>0.45</v>
      </c>
      <c r="C37" s="2">
        <f t="shared" si="1"/>
        <v>0.15</v>
      </c>
      <c r="D37" s="2">
        <f t="shared" si="2"/>
        <v>6.123636363636363E-2</v>
      </c>
      <c r="E37" s="2">
        <f t="shared" si="5"/>
        <v>0.5112363636363636</v>
      </c>
      <c r="F37" s="2">
        <f t="shared" si="6"/>
        <v>0.6</v>
      </c>
      <c r="G37" s="2">
        <f t="shared" si="7"/>
        <v>0.66123636363636362</v>
      </c>
      <c r="H37" s="2">
        <f t="shared" si="3"/>
        <v>2.25</v>
      </c>
      <c r="I37" s="2">
        <f t="shared" si="4"/>
        <v>4.194</v>
      </c>
      <c r="J37" s="2">
        <f t="shared" si="8"/>
        <v>2.4</v>
      </c>
      <c r="K37" s="2">
        <f t="shared" si="9"/>
        <v>4.3440000000000003</v>
      </c>
      <c r="L37" s="2">
        <f t="shared" si="10"/>
        <v>2.4612363636363637</v>
      </c>
      <c r="M37" s="2">
        <f t="shared" si="11"/>
        <v>4.4052363636363641</v>
      </c>
    </row>
    <row r="38" spans="1:13" x14ac:dyDescent="0.35">
      <c r="A38">
        <v>10</v>
      </c>
      <c r="B38" s="2">
        <f t="shared" si="0"/>
        <v>0.5</v>
      </c>
      <c r="C38" s="2">
        <f t="shared" si="1"/>
        <v>0.16666666666666666</v>
      </c>
      <c r="D38" s="2">
        <f t="shared" si="2"/>
        <v>6.123636363636363E-2</v>
      </c>
      <c r="E38" s="2">
        <f t="shared" si="5"/>
        <v>0.56123636363636364</v>
      </c>
      <c r="F38" s="2">
        <f t="shared" si="6"/>
        <v>0.66666666666666663</v>
      </c>
      <c r="G38" s="2">
        <f t="shared" si="7"/>
        <v>0.72790303030303027</v>
      </c>
      <c r="H38" s="2">
        <f t="shared" si="3"/>
        <v>2.5</v>
      </c>
      <c r="I38" s="2">
        <f t="shared" si="4"/>
        <v>4.66</v>
      </c>
      <c r="J38" s="2">
        <f t="shared" si="8"/>
        <v>2.6666666666666665</v>
      </c>
      <c r="K38" s="2">
        <f t="shared" si="9"/>
        <v>4.8266666666666671</v>
      </c>
      <c r="L38" s="2">
        <f t="shared" si="10"/>
        <v>2.7279030303030303</v>
      </c>
      <c r="M38" s="2">
        <f t="shared" si="11"/>
        <v>4.8879030303030309</v>
      </c>
    </row>
  </sheetData>
  <mergeCells count="6">
    <mergeCell ref="F1:H1"/>
    <mergeCell ref="I14:N19"/>
    <mergeCell ref="L1:M1"/>
    <mergeCell ref="C1:E1"/>
    <mergeCell ref="J1:K1"/>
    <mergeCell ref="N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A7FBE-82E2-469D-8401-6558E740EFC5}">
  <dimension ref="A1:F30"/>
  <sheetViews>
    <sheetView topLeftCell="A13" zoomScale="85" zoomScaleNormal="85" workbookViewId="0">
      <selection activeCell="A30" sqref="A30"/>
    </sheetView>
  </sheetViews>
  <sheetFormatPr baseColWidth="10" defaultRowHeight="14.5" x14ac:dyDescent="0.35"/>
  <cols>
    <col min="1" max="1" width="35" style="4" customWidth="1"/>
    <col min="2" max="2" width="37.1796875" customWidth="1"/>
    <col min="3" max="3" width="17.08984375" customWidth="1"/>
    <col min="4" max="4" width="52.7265625" customWidth="1"/>
    <col min="5" max="5" width="20.7265625" customWidth="1"/>
    <col min="6" max="6" width="17.54296875" customWidth="1"/>
  </cols>
  <sheetData>
    <row r="1" spans="1:4" ht="35" customHeight="1" x14ac:dyDescent="0.35">
      <c r="A1" s="38" t="s">
        <v>131</v>
      </c>
      <c r="B1" s="38"/>
      <c r="D1" s="17" t="s">
        <v>148</v>
      </c>
    </row>
    <row r="2" spans="1:4" ht="15.5" x14ac:dyDescent="0.35">
      <c r="D2" s="13" t="s">
        <v>146</v>
      </c>
    </row>
    <row r="3" spans="1:4" ht="21.5" customHeight="1" x14ac:dyDescent="0.35">
      <c r="A3" s="12" t="s">
        <v>113</v>
      </c>
      <c r="B3" s="12" t="s">
        <v>114</v>
      </c>
      <c r="D3" s="1" t="s">
        <v>132</v>
      </c>
    </row>
    <row r="4" spans="1:4" x14ac:dyDescent="0.35">
      <c r="A4" s="10" t="s">
        <v>115</v>
      </c>
      <c r="B4" s="11" t="s">
        <v>116</v>
      </c>
      <c r="D4" s="15" t="s">
        <v>133</v>
      </c>
    </row>
    <row r="5" spans="1:4" x14ac:dyDescent="0.35">
      <c r="A5" s="10" t="s">
        <v>117</v>
      </c>
      <c r="B5" s="11" t="s">
        <v>118</v>
      </c>
      <c r="D5" s="15" t="s">
        <v>134</v>
      </c>
    </row>
    <row r="6" spans="1:4" x14ac:dyDescent="0.35">
      <c r="A6" s="10" t="s">
        <v>119</v>
      </c>
      <c r="B6" s="11" t="s">
        <v>120</v>
      </c>
      <c r="D6" s="15" t="s">
        <v>135</v>
      </c>
    </row>
    <row r="7" spans="1:4" x14ac:dyDescent="0.35">
      <c r="A7" s="10" t="s">
        <v>121</v>
      </c>
      <c r="B7" s="11" t="s">
        <v>122</v>
      </c>
      <c r="D7" s="19" t="s">
        <v>136</v>
      </c>
    </row>
    <row r="8" spans="1:4" ht="29" x14ac:dyDescent="0.35">
      <c r="A8" s="10" t="s">
        <v>123</v>
      </c>
      <c r="B8" s="11" t="s">
        <v>124</v>
      </c>
    </row>
    <row r="9" spans="1:4" ht="29" x14ac:dyDescent="0.35">
      <c r="A9" s="10" t="s">
        <v>125</v>
      </c>
      <c r="B9" s="11" t="s">
        <v>126</v>
      </c>
      <c r="D9" s="13" t="s">
        <v>147</v>
      </c>
    </row>
    <row r="10" spans="1:4" x14ac:dyDescent="0.35">
      <c r="A10" s="10" t="s">
        <v>127</v>
      </c>
      <c r="B10" s="11" t="s">
        <v>128</v>
      </c>
      <c r="D10" s="15" t="s">
        <v>137</v>
      </c>
    </row>
    <row r="11" spans="1:4" x14ac:dyDescent="0.35">
      <c r="A11" s="10" t="s">
        <v>129</v>
      </c>
      <c r="B11" s="11" t="s">
        <v>130</v>
      </c>
      <c r="D11" s="16" t="s">
        <v>138</v>
      </c>
    </row>
    <row r="12" spans="1:4" x14ac:dyDescent="0.35">
      <c r="D12" s="18" t="s">
        <v>139</v>
      </c>
    </row>
    <row r="13" spans="1:4" ht="35" customHeight="1" x14ac:dyDescent="0.35">
      <c r="A13" s="38" t="s">
        <v>162</v>
      </c>
      <c r="B13" s="38"/>
      <c r="D13" s="14"/>
    </row>
    <row r="14" spans="1:4" x14ac:dyDescent="0.35">
      <c r="D14" s="15" t="s">
        <v>140</v>
      </c>
    </row>
    <row r="15" spans="1:4" x14ac:dyDescent="0.35">
      <c r="A15" s="9" t="s">
        <v>150</v>
      </c>
      <c r="B15" s="9" t="s">
        <v>151</v>
      </c>
      <c r="D15" s="16" t="s">
        <v>141</v>
      </c>
    </row>
    <row r="16" spans="1:4" x14ac:dyDescent="0.35">
      <c r="A16" s="10" t="s">
        <v>152</v>
      </c>
      <c r="B16" s="11" t="s">
        <v>153</v>
      </c>
      <c r="D16" s="18" t="s">
        <v>142</v>
      </c>
    </row>
    <row r="17" spans="1:6" x14ac:dyDescent="0.35">
      <c r="A17" s="10" t="s">
        <v>154</v>
      </c>
      <c r="B17" s="11" t="s">
        <v>155</v>
      </c>
    </row>
    <row r="18" spans="1:6" ht="15.5" x14ac:dyDescent="0.35">
      <c r="A18" s="10" t="s">
        <v>156</v>
      </c>
      <c r="B18" s="11" t="s">
        <v>157</v>
      </c>
      <c r="D18" s="13" t="s">
        <v>149</v>
      </c>
    </row>
    <row r="19" spans="1:6" x14ac:dyDescent="0.35">
      <c r="A19" s="10" t="s">
        <v>158</v>
      </c>
      <c r="B19" s="11" t="s">
        <v>159</v>
      </c>
      <c r="D19" s="15" t="s">
        <v>143</v>
      </c>
    </row>
    <row r="20" spans="1:6" x14ac:dyDescent="0.35">
      <c r="A20" s="20" t="s">
        <v>160</v>
      </c>
      <c r="B20" s="20" t="s">
        <v>161</v>
      </c>
      <c r="D20" s="16" t="s">
        <v>144</v>
      </c>
    </row>
    <row r="21" spans="1:6" x14ac:dyDescent="0.35">
      <c r="D21" s="18" t="s">
        <v>145</v>
      </c>
    </row>
    <row r="24" spans="1:6" ht="17.5" x14ac:dyDescent="0.35">
      <c r="A24" s="38" t="s">
        <v>221</v>
      </c>
      <c r="B24" s="38"/>
    </row>
    <row r="25" spans="1:6" x14ac:dyDescent="0.35">
      <c r="A25" s="4" t="s">
        <v>163</v>
      </c>
      <c r="B25" t="s">
        <v>164</v>
      </c>
      <c r="C25" t="s">
        <v>165</v>
      </c>
      <c r="D25" t="s">
        <v>166</v>
      </c>
      <c r="E25" t="s">
        <v>168</v>
      </c>
      <c r="F25" t="s">
        <v>167</v>
      </c>
    </row>
    <row r="26" spans="1:6" x14ac:dyDescent="0.35">
      <c r="A26" s="4">
        <v>100</v>
      </c>
      <c r="B26" s="23">
        <v>14.6484375</v>
      </c>
      <c r="C26">
        <v>2500</v>
      </c>
      <c r="D26">
        <v>6000</v>
      </c>
      <c r="E26" s="21">
        <v>9.765625</v>
      </c>
      <c r="F26" s="24">
        <v>1.23</v>
      </c>
    </row>
    <row r="27" spans="1:6" x14ac:dyDescent="0.35">
      <c r="A27" s="4">
        <v>500</v>
      </c>
      <c r="B27" s="23">
        <v>73.2421875</v>
      </c>
      <c r="C27">
        <v>12500</v>
      </c>
      <c r="D27">
        <v>30000</v>
      </c>
      <c r="E27" s="21">
        <v>48.828125</v>
      </c>
      <c r="F27" s="24">
        <v>6.15</v>
      </c>
    </row>
    <row r="28" spans="1:6" x14ac:dyDescent="0.35">
      <c r="A28" s="4">
        <v>1000</v>
      </c>
      <c r="B28" s="23">
        <v>439.453125</v>
      </c>
      <c r="C28">
        <v>50000</v>
      </c>
      <c r="D28">
        <v>115000</v>
      </c>
      <c r="E28" s="21">
        <v>292.96875</v>
      </c>
      <c r="F28" s="24">
        <v>36.770000000000003</v>
      </c>
    </row>
    <row r="29" spans="1:6" x14ac:dyDescent="0.35">
      <c r="A29" s="4">
        <v>5000</v>
      </c>
      <c r="B29" s="3">
        <v>3906.25</v>
      </c>
      <c r="C29">
        <v>250000</v>
      </c>
      <c r="D29">
        <v>600000</v>
      </c>
      <c r="E29" s="21">
        <v>2929.6875</v>
      </c>
      <c r="F29" s="24">
        <v>355.01</v>
      </c>
    </row>
    <row r="30" spans="1:6" x14ac:dyDescent="0.35">
      <c r="A30" s="4">
        <v>10000</v>
      </c>
      <c r="B30" s="23">
        <v>13427.734375</v>
      </c>
      <c r="C30">
        <v>750000</v>
      </c>
      <c r="D30">
        <v>1750000</v>
      </c>
      <c r="E30" s="21">
        <v>9765.625</v>
      </c>
      <c r="F30" s="24">
        <v>1192.19</v>
      </c>
    </row>
  </sheetData>
  <mergeCells count="3">
    <mergeCell ref="A13:B13"/>
    <mergeCell ref="A1:B1"/>
    <mergeCell ref="A24:B24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213C-BCCD-4167-85A3-E6EB238B3FFB}">
  <dimension ref="A1:F30"/>
  <sheetViews>
    <sheetView zoomScale="85" zoomScaleNormal="85" workbookViewId="0">
      <selection activeCell="C9" sqref="C9"/>
    </sheetView>
  </sheetViews>
  <sheetFormatPr baseColWidth="10" defaultRowHeight="14.5" x14ac:dyDescent="0.35"/>
  <cols>
    <col min="1" max="1" width="35" style="4" customWidth="1"/>
    <col min="2" max="2" width="35.26953125" customWidth="1"/>
    <col min="3" max="4" width="17.08984375" customWidth="1"/>
    <col min="5" max="5" width="21" customWidth="1"/>
    <col min="6" max="6" width="20.08984375" customWidth="1"/>
    <col min="7" max="7" width="16.90625" customWidth="1"/>
  </cols>
  <sheetData>
    <row r="1" spans="1:6" ht="27.5" customHeight="1" x14ac:dyDescent="0.35">
      <c r="A1" s="38" t="s">
        <v>131</v>
      </c>
      <c r="B1" s="38"/>
      <c r="E1" s="39" t="s">
        <v>179</v>
      </c>
      <c r="F1" s="39"/>
    </row>
    <row r="3" spans="1:6" ht="21.5" customHeight="1" x14ac:dyDescent="0.35">
      <c r="A3" s="9" t="s">
        <v>113</v>
      </c>
      <c r="B3" s="9" t="s">
        <v>114</v>
      </c>
      <c r="E3" s="8" t="s">
        <v>193</v>
      </c>
    </row>
    <row r="4" spans="1:6" ht="29" x14ac:dyDescent="0.35">
      <c r="A4" s="10" t="s">
        <v>170</v>
      </c>
      <c r="B4" s="11" t="s">
        <v>120</v>
      </c>
      <c r="E4" s="15" t="s">
        <v>180</v>
      </c>
    </row>
    <row r="5" spans="1:6" x14ac:dyDescent="0.35">
      <c r="A5" s="10" t="s">
        <v>171</v>
      </c>
      <c r="B5" s="11" t="s">
        <v>172</v>
      </c>
      <c r="E5" s="15" t="s">
        <v>181</v>
      </c>
    </row>
    <row r="6" spans="1:6" x14ac:dyDescent="0.35">
      <c r="A6" s="10" t="s">
        <v>173</v>
      </c>
      <c r="B6" s="11" t="s">
        <v>174</v>
      </c>
      <c r="E6" s="25" t="s">
        <v>182</v>
      </c>
    </row>
    <row r="7" spans="1:6" x14ac:dyDescent="0.35">
      <c r="A7" s="10" t="s">
        <v>175</v>
      </c>
      <c r="B7" s="11" t="s">
        <v>176</v>
      </c>
    </row>
    <row r="8" spans="1:6" ht="17.5" x14ac:dyDescent="0.35">
      <c r="A8" s="10" t="s">
        <v>177</v>
      </c>
      <c r="B8" s="11" t="s">
        <v>178</v>
      </c>
      <c r="E8" s="8" t="s">
        <v>194</v>
      </c>
    </row>
    <row r="9" spans="1:6" x14ac:dyDescent="0.35">
      <c r="A9" s="10"/>
      <c r="B9" s="11"/>
      <c r="E9" s="15" t="s">
        <v>183</v>
      </c>
    </row>
    <row r="10" spans="1:6" x14ac:dyDescent="0.35">
      <c r="E10" s="15" t="s">
        <v>184</v>
      </c>
    </row>
    <row r="11" spans="1:6" ht="29.5" customHeight="1" x14ac:dyDescent="0.35">
      <c r="A11" s="39" t="s">
        <v>197</v>
      </c>
      <c r="B11" s="39"/>
      <c r="E11" s="15" t="s">
        <v>185</v>
      </c>
    </row>
    <row r="12" spans="1:6" x14ac:dyDescent="0.35">
      <c r="A12"/>
      <c r="E12" s="25" t="s">
        <v>186</v>
      </c>
    </row>
    <row r="13" spans="1:6" x14ac:dyDescent="0.35">
      <c r="A13" s="9" t="s">
        <v>150</v>
      </c>
      <c r="B13" s="9" t="s">
        <v>151</v>
      </c>
    </row>
    <row r="14" spans="1:6" ht="17.5" x14ac:dyDescent="0.35">
      <c r="A14" s="10" t="s">
        <v>198</v>
      </c>
      <c r="B14" s="11" t="s">
        <v>199</v>
      </c>
      <c r="E14" s="8" t="s">
        <v>195</v>
      </c>
    </row>
    <row r="15" spans="1:6" x14ac:dyDescent="0.35">
      <c r="A15" s="10" t="s">
        <v>200</v>
      </c>
      <c r="B15" s="11" t="s">
        <v>201</v>
      </c>
      <c r="E15" s="15" t="s">
        <v>187</v>
      </c>
    </row>
    <row r="16" spans="1:6" x14ac:dyDescent="0.35">
      <c r="A16" s="10" t="s">
        <v>202</v>
      </c>
      <c r="B16" s="11" t="s">
        <v>203</v>
      </c>
      <c r="E16" s="15" t="s">
        <v>188</v>
      </c>
    </row>
    <row r="17" spans="1:6" x14ac:dyDescent="0.35">
      <c r="A17" s="10" t="s">
        <v>204</v>
      </c>
      <c r="B17" s="11" t="s">
        <v>205</v>
      </c>
      <c r="E17" s="25" t="s">
        <v>189</v>
      </c>
    </row>
    <row r="18" spans="1:6" x14ac:dyDescent="0.35">
      <c r="A18" s="20" t="s">
        <v>160</v>
      </c>
      <c r="B18" s="20" t="s">
        <v>206</v>
      </c>
    </row>
    <row r="19" spans="1:6" ht="17.5" x14ac:dyDescent="0.35">
      <c r="E19" s="8" t="s">
        <v>196</v>
      </c>
    </row>
    <row r="20" spans="1:6" x14ac:dyDescent="0.35">
      <c r="E20" s="15" t="s">
        <v>190</v>
      </c>
    </row>
    <row r="21" spans="1:6" x14ac:dyDescent="0.35">
      <c r="E21" s="15" t="s">
        <v>191</v>
      </c>
    </row>
    <row r="22" spans="1:6" x14ac:dyDescent="0.35">
      <c r="E22" s="25" t="s">
        <v>192</v>
      </c>
    </row>
    <row r="24" spans="1:6" ht="23.5" x14ac:dyDescent="0.35">
      <c r="A24" s="27" t="s">
        <v>220</v>
      </c>
      <c r="B24" s="27"/>
      <c r="C24" s="27"/>
    </row>
    <row r="25" spans="1:6" x14ac:dyDescent="0.35">
      <c r="A25"/>
    </row>
    <row r="26" spans="1:6" ht="29" x14ac:dyDescent="0.35">
      <c r="A26" s="9" t="s">
        <v>207</v>
      </c>
      <c r="B26" s="9" t="s">
        <v>208</v>
      </c>
      <c r="C26" s="9" t="s">
        <v>209</v>
      </c>
      <c r="D26" s="9" t="s">
        <v>210</v>
      </c>
      <c r="E26" s="9" t="s">
        <v>211</v>
      </c>
      <c r="F26" s="9" t="s">
        <v>212</v>
      </c>
    </row>
    <row r="27" spans="1:6" x14ac:dyDescent="0.35">
      <c r="A27" s="11" t="s">
        <v>120</v>
      </c>
      <c r="B27" s="10">
        <v>100</v>
      </c>
      <c r="C27" s="10">
        <v>500</v>
      </c>
      <c r="D27" s="22">
        <v>50000</v>
      </c>
      <c r="E27" s="10">
        <v>30</v>
      </c>
      <c r="F27" s="11" t="s">
        <v>213</v>
      </c>
    </row>
    <row r="28" spans="1:6" x14ac:dyDescent="0.35">
      <c r="A28" s="11" t="s">
        <v>214</v>
      </c>
      <c r="B28" s="22">
        <v>1000</v>
      </c>
      <c r="C28" s="22">
        <v>5000</v>
      </c>
      <c r="D28" s="22">
        <v>500000</v>
      </c>
      <c r="E28" s="10">
        <v>300</v>
      </c>
      <c r="F28" s="11" t="s">
        <v>215</v>
      </c>
    </row>
    <row r="29" spans="1:6" x14ac:dyDescent="0.35">
      <c r="A29" s="11" t="s">
        <v>216</v>
      </c>
      <c r="B29" s="22">
        <v>10000</v>
      </c>
      <c r="C29" s="22">
        <v>50000</v>
      </c>
      <c r="D29" s="22">
        <v>5000000</v>
      </c>
      <c r="E29" s="22">
        <v>3000</v>
      </c>
      <c r="F29" s="11" t="s">
        <v>217</v>
      </c>
    </row>
    <row r="30" spans="1:6" x14ac:dyDescent="0.35">
      <c r="A30" s="11" t="s">
        <v>218</v>
      </c>
      <c r="B30" s="22">
        <v>100000</v>
      </c>
      <c r="C30" s="22">
        <v>500000</v>
      </c>
      <c r="D30" s="22">
        <v>50000000</v>
      </c>
      <c r="E30" s="22">
        <v>30000</v>
      </c>
      <c r="F30" s="11" t="s">
        <v>219</v>
      </c>
    </row>
  </sheetData>
  <mergeCells count="3">
    <mergeCell ref="A1:B1"/>
    <mergeCell ref="A11:B11"/>
    <mergeCell ref="E1:F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09ABA-8CBA-4219-981F-8949BB0E2A0B}">
  <dimension ref="A1:D11"/>
  <sheetViews>
    <sheetView zoomScale="55" zoomScaleNormal="55" workbookViewId="0">
      <selection activeCell="D11" sqref="A1:D11"/>
    </sheetView>
  </sheetViews>
  <sheetFormatPr baseColWidth="10" defaultRowHeight="14.5" x14ac:dyDescent="0.35"/>
  <cols>
    <col min="1" max="1" width="18.36328125" customWidth="1"/>
    <col min="2" max="2" width="24.90625" customWidth="1"/>
    <col min="3" max="3" width="22.1796875" customWidth="1"/>
    <col min="4" max="4" width="40.54296875" customWidth="1"/>
    <col min="7" max="7" width="16.54296875" customWidth="1"/>
    <col min="8" max="8" width="20.7265625" customWidth="1"/>
  </cols>
  <sheetData>
    <row r="1" spans="1:4" x14ac:dyDescent="0.35">
      <c r="A1" s="1" t="s">
        <v>70</v>
      </c>
      <c r="B1" s="1" t="s">
        <v>21</v>
      </c>
      <c r="C1" s="1" t="s">
        <v>22</v>
      </c>
      <c r="D1" s="1" t="s">
        <v>39</v>
      </c>
    </row>
    <row r="2" spans="1:4" x14ac:dyDescent="0.35">
      <c r="B2">
        <v>2000</v>
      </c>
      <c r="C2">
        <v>600</v>
      </c>
      <c r="D2" s="3">
        <f>(B2*0.03)/1000+(C2*0.06)/1000</f>
        <v>9.6000000000000002E-2</v>
      </c>
    </row>
    <row r="7" spans="1:4" x14ac:dyDescent="0.35">
      <c r="A7" t="s">
        <v>11</v>
      </c>
    </row>
    <row r="9" spans="1:4" x14ac:dyDescent="0.35">
      <c r="A9" s="1" t="s">
        <v>8</v>
      </c>
    </row>
    <row r="10" spans="1:4" x14ac:dyDescent="0.35">
      <c r="A10" t="s">
        <v>6</v>
      </c>
      <c r="B10" t="s">
        <v>9</v>
      </c>
    </row>
    <row r="11" spans="1:4" x14ac:dyDescent="0.35">
      <c r="A11" t="s">
        <v>7</v>
      </c>
      <c r="B11" t="s">
        <v>10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6810-F310-44DE-9991-94F004D618FA}">
  <dimension ref="A1:H12"/>
  <sheetViews>
    <sheetView zoomScale="85" zoomScaleNormal="85" workbookViewId="0">
      <selection activeCell="F12" sqref="A1:G12"/>
    </sheetView>
  </sheetViews>
  <sheetFormatPr baseColWidth="10" defaultRowHeight="14.5" x14ac:dyDescent="0.35"/>
  <cols>
    <col min="1" max="1" width="19.08984375" customWidth="1"/>
    <col min="2" max="2" width="13.1796875" customWidth="1"/>
    <col min="3" max="3" width="14.90625" customWidth="1"/>
    <col min="4" max="4" width="14.08984375" customWidth="1"/>
    <col min="5" max="5" width="14.6328125" customWidth="1"/>
    <col min="6" max="6" width="22.36328125" customWidth="1"/>
    <col min="7" max="7" width="24.7265625" customWidth="1"/>
    <col min="8" max="8" width="22.90625" customWidth="1"/>
  </cols>
  <sheetData>
    <row r="1" spans="1:8" s="1" customFormat="1" x14ac:dyDescent="0.35">
      <c r="A1" s="1" t="s">
        <v>69</v>
      </c>
      <c r="B1" s="1" t="s">
        <v>15</v>
      </c>
      <c r="C1" s="1" t="s">
        <v>16</v>
      </c>
      <c r="D1" s="1" t="s">
        <v>17</v>
      </c>
      <c r="E1" s="1" t="s">
        <v>19</v>
      </c>
      <c r="F1" s="1" t="s">
        <v>24</v>
      </c>
      <c r="G1" s="1" t="s">
        <v>27</v>
      </c>
    </row>
    <row r="2" spans="1:8" x14ac:dyDescent="0.35">
      <c r="A2" t="s">
        <v>12</v>
      </c>
      <c r="B2">
        <v>8</v>
      </c>
      <c r="C2">
        <v>10</v>
      </c>
      <c r="D2" t="s">
        <v>18</v>
      </c>
      <c r="E2">
        <v>200</v>
      </c>
      <c r="F2" s="2">
        <f>B2/E2</f>
        <v>0.04</v>
      </c>
      <c r="G2" s="2">
        <f>C2/E2</f>
        <v>0.05</v>
      </c>
      <c r="H2" s="2"/>
    </row>
    <row r="3" spans="1:8" x14ac:dyDescent="0.35">
      <c r="A3" t="s">
        <v>13</v>
      </c>
      <c r="B3">
        <v>24</v>
      </c>
      <c r="C3">
        <v>30</v>
      </c>
      <c r="D3">
        <v>15</v>
      </c>
      <c r="E3">
        <f>60*D3</f>
        <v>900</v>
      </c>
      <c r="F3" s="2">
        <f>B3/E3</f>
        <v>2.6666666666666668E-2</v>
      </c>
      <c r="G3" s="2">
        <f>C3/E3</f>
        <v>3.3333333333333333E-2</v>
      </c>
      <c r="H3" s="2"/>
    </row>
    <row r="4" spans="1:8" x14ac:dyDescent="0.35">
      <c r="A4" t="s">
        <v>26</v>
      </c>
      <c r="B4">
        <v>48</v>
      </c>
      <c r="C4">
        <v>60</v>
      </c>
      <c r="D4">
        <v>30</v>
      </c>
      <c r="E4">
        <f t="shared" ref="E4:E5" si="0">60*D4</f>
        <v>1800</v>
      </c>
      <c r="F4" s="2">
        <f>B4/E4</f>
        <v>2.6666666666666668E-2</v>
      </c>
      <c r="G4" s="2">
        <f t="shared" ref="G4:G5" si="1">C4/E4</f>
        <v>3.3333333333333333E-2</v>
      </c>
      <c r="H4" s="2"/>
    </row>
    <row r="5" spans="1:8" x14ac:dyDescent="0.35">
      <c r="A5" t="s">
        <v>14</v>
      </c>
      <c r="B5">
        <v>96</v>
      </c>
      <c r="C5">
        <v>120</v>
      </c>
      <c r="D5">
        <v>60</v>
      </c>
      <c r="E5">
        <f t="shared" si="0"/>
        <v>3600</v>
      </c>
      <c r="F5" s="2">
        <f t="shared" ref="F5" si="2">B5/E5</f>
        <v>2.6666666666666668E-2</v>
      </c>
      <c r="G5" s="2">
        <f t="shared" si="1"/>
        <v>3.3333333333333333E-2</v>
      </c>
      <c r="H5" s="2"/>
    </row>
    <row r="6" spans="1:8" x14ac:dyDescent="0.35">
      <c r="F6" s="3"/>
    </row>
    <row r="8" spans="1:8" x14ac:dyDescent="0.35">
      <c r="A8" s="1" t="s">
        <v>20</v>
      </c>
      <c r="F8" s="28" t="s">
        <v>74</v>
      </c>
      <c r="G8" s="28"/>
    </row>
    <row r="9" spans="1:8" x14ac:dyDescent="0.35">
      <c r="A9" t="s">
        <v>64</v>
      </c>
      <c r="C9">
        <v>4</v>
      </c>
      <c r="D9">
        <v>1</v>
      </c>
      <c r="E9">
        <f>D9*60</f>
        <v>60</v>
      </c>
      <c r="F9" s="40">
        <f>C9/E9</f>
        <v>6.6666666666666666E-2</v>
      </c>
      <c r="G9" s="40"/>
    </row>
    <row r="10" spans="1:8" x14ac:dyDescent="0.35">
      <c r="A10" t="s">
        <v>66</v>
      </c>
      <c r="C10">
        <v>8</v>
      </c>
      <c r="D10">
        <v>2</v>
      </c>
      <c r="E10">
        <f t="shared" ref="E10:E12" si="3">D10*60</f>
        <v>120</v>
      </c>
      <c r="F10" s="40">
        <f t="shared" ref="F10" si="4">C10/E10</f>
        <v>6.6666666666666666E-2</v>
      </c>
      <c r="G10" s="40"/>
    </row>
    <row r="11" spans="1:8" x14ac:dyDescent="0.35">
      <c r="A11" t="s">
        <v>65</v>
      </c>
      <c r="C11">
        <v>20</v>
      </c>
      <c r="D11">
        <v>5</v>
      </c>
      <c r="E11">
        <f t="shared" si="3"/>
        <v>300</v>
      </c>
      <c r="F11" s="40">
        <f>C11/E11</f>
        <v>6.6666666666666666E-2</v>
      </c>
      <c r="G11" s="40"/>
    </row>
    <row r="12" spans="1:8" x14ac:dyDescent="0.35">
      <c r="A12" t="s">
        <v>67</v>
      </c>
      <c r="C12">
        <v>48</v>
      </c>
      <c r="D12">
        <v>12</v>
      </c>
      <c r="E12">
        <f t="shared" si="3"/>
        <v>720</v>
      </c>
      <c r="F12" s="40">
        <f>C12/E12</f>
        <v>6.6666666666666666E-2</v>
      </c>
      <c r="G12" s="40"/>
    </row>
  </sheetData>
  <mergeCells count="5">
    <mergeCell ref="F9:G9"/>
    <mergeCell ref="F10:G10"/>
    <mergeCell ref="F11:G11"/>
    <mergeCell ref="F12:G12"/>
    <mergeCell ref="F8:G8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AEF30-3233-4363-A39E-B6F27417D9E0}">
  <dimension ref="A1:H19"/>
  <sheetViews>
    <sheetView zoomScale="70" zoomScaleNormal="70" workbookViewId="0">
      <selection activeCell="H20" sqref="A1:H20"/>
    </sheetView>
  </sheetViews>
  <sheetFormatPr baseColWidth="10" defaultRowHeight="14.5" x14ac:dyDescent="0.35"/>
  <cols>
    <col min="1" max="1" width="19.08984375" customWidth="1"/>
    <col min="2" max="2" width="12.54296875" customWidth="1"/>
    <col min="3" max="3" width="14.90625" customWidth="1"/>
    <col min="4" max="4" width="19.7265625" customWidth="1"/>
    <col min="5" max="5" width="22.1796875" customWidth="1"/>
    <col min="6" max="6" width="22.90625" customWidth="1"/>
    <col min="7" max="7" width="47.36328125" customWidth="1"/>
    <col min="8" max="8" width="36.7265625" customWidth="1"/>
  </cols>
  <sheetData>
    <row r="1" spans="1:8" x14ac:dyDescent="0.35">
      <c r="A1" s="1" t="s">
        <v>68</v>
      </c>
      <c r="B1" s="1" t="s">
        <v>15</v>
      </c>
      <c r="C1" s="1" t="s">
        <v>16</v>
      </c>
      <c r="D1" s="1" t="s">
        <v>30</v>
      </c>
      <c r="E1" s="1" t="s">
        <v>32</v>
      </c>
      <c r="F1" s="1" t="s">
        <v>33</v>
      </c>
      <c r="G1" s="1" t="s">
        <v>82</v>
      </c>
      <c r="H1" s="1" t="s">
        <v>35</v>
      </c>
    </row>
    <row r="2" spans="1:8" x14ac:dyDescent="0.35">
      <c r="A2" t="s">
        <v>25</v>
      </c>
      <c r="B2">
        <v>4.17</v>
      </c>
      <c r="C2">
        <v>5</v>
      </c>
      <c r="D2">
        <v>30000</v>
      </c>
      <c r="E2">
        <f>B2/D2</f>
        <v>1.3899999999999999E-4</v>
      </c>
      <c r="F2">
        <f>C2/D2</f>
        <v>1.6666666666666666E-4</v>
      </c>
      <c r="G2" s="2">
        <f>E2*100</f>
        <v>1.3899999999999999E-2</v>
      </c>
      <c r="H2" s="2">
        <f>F2*100</f>
        <v>1.6666666666666666E-2</v>
      </c>
    </row>
    <row r="3" spans="1:8" x14ac:dyDescent="0.35">
      <c r="A3" t="s">
        <v>26</v>
      </c>
      <c r="B3">
        <v>18.329999999999998</v>
      </c>
      <c r="C3">
        <v>11</v>
      </c>
      <c r="D3">
        <v>100000</v>
      </c>
      <c r="E3">
        <f t="shared" ref="E3:E6" si="0">B3/D3</f>
        <v>1.8329999999999998E-4</v>
      </c>
      <c r="F3">
        <f t="shared" ref="F3:F6" si="1">C3/D3</f>
        <v>1.1E-4</v>
      </c>
      <c r="G3" s="2">
        <f t="shared" ref="G3:G6" si="2">E3*100</f>
        <v>1.8329999999999999E-2</v>
      </c>
      <c r="H3" s="2">
        <f t="shared" ref="H3:H6" si="3">F3*100</f>
        <v>1.1000000000000001E-2</v>
      </c>
    </row>
    <row r="4" spans="1:8" x14ac:dyDescent="0.35">
      <c r="A4" t="s">
        <v>14</v>
      </c>
      <c r="B4">
        <v>82.5</v>
      </c>
      <c r="C4">
        <v>99</v>
      </c>
      <c r="D4">
        <v>500000</v>
      </c>
      <c r="E4">
        <f t="shared" si="0"/>
        <v>1.65E-4</v>
      </c>
      <c r="F4">
        <f t="shared" si="1"/>
        <v>1.9799999999999999E-4</v>
      </c>
      <c r="G4" s="2">
        <f>E4*100</f>
        <v>1.6500000000000001E-2</v>
      </c>
      <c r="H4" s="2">
        <f t="shared" si="3"/>
        <v>1.9799999999999998E-2</v>
      </c>
    </row>
    <row r="5" spans="1:8" x14ac:dyDescent="0.35">
      <c r="A5" t="s">
        <v>28</v>
      </c>
      <c r="B5">
        <v>275</v>
      </c>
      <c r="C5">
        <v>330</v>
      </c>
      <c r="D5">
        <v>2000000</v>
      </c>
      <c r="E5">
        <f>B5/D5</f>
        <v>1.3750000000000001E-4</v>
      </c>
      <c r="F5">
        <f t="shared" si="1"/>
        <v>1.65E-4</v>
      </c>
      <c r="G5" s="2">
        <f t="shared" si="2"/>
        <v>1.375E-2</v>
      </c>
      <c r="H5" s="2">
        <f t="shared" si="3"/>
        <v>1.6500000000000001E-2</v>
      </c>
    </row>
    <row r="6" spans="1:8" x14ac:dyDescent="0.35">
      <c r="A6" t="s">
        <v>29</v>
      </c>
      <c r="B6">
        <v>1100</v>
      </c>
      <c r="C6">
        <v>1320</v>
      </c>
      <c r="D6">
        <v>11000000</v>
      </c>
      <c r="E6">
        <f t="shared" si="0"/>
        <v>1E-4</v>
      </c>
      <c r="F6">
        <f t="shared" si="1"/>
        <v>1.2E-4</v>
      </c>
      <c r="G6" s="2">
        <f t="shared" si="2"/>
        <v>0.01</v>
      </c>
      <c r="H6" s="2">
        <f t="shared" si="3"/>
        <v>1.2E-2</v>
      </c>
    </row>
    <row r="9" spans="1:8" x14ac:dyDescent="0.35">
      <c r="A9" s="1" t="s">
        <v>31</v>
      </c>
    </row>
    <row r="10" spans="1:8" x14ac:dyDescent="0.35">
      <c r="A10" t="s">
        <v>25</v>
      </c>
      <c r="G10" s="41" t="s">
        <v>71</v>
      </c>
      <c r="H10" s="41"/>
    </row>
    <row r="11" spans="1:8" x14ac:dyDescent="0.35">
      <c r="A11" t="s">
        <v>26</v>
      </c>
      <c r="C11">
        <v>0.3</v>
      </c>
      <c r="D11">
        <v>1000</v>
      </c>
      <c r="F11">
        <f>C11/D11</f>
        <v>2.9999999999999997E-4</v>
      </c>
      <c r="G11" s="40">
        <f>F11*100</f>
        <v>0.03</v>
      </c>
      <c r="H11" s="40"/>
    </row>
    <row r="12" spans="1:8" x14ac:dyDescent="0.35">
      <c r="A12" t="s">
        <v>14</v>
      </c>
      <c r="C12">
        <v>0.24</v>
      </c>
      <c r="D12">
        <v>1000</v>
      </c>
      <c r="F12">
        <f t="shared" ref="F12:F14" si="4">C12/D12</f>
        <v>2.3999999999999998E-4</v>
      </c>
      <c r="G12" s="40">
        <f t="shared" ref="G12:G14" si="5">F12*100</f>
        <v>2.3999999999999997E-2</v>
      </c>
      <c r="H12" s="40"/>
    </row>
    <row r="13" spans="1:8" x14ac:dyDescent="0.35">
      <c r="A13" t="s">
        <v>28</v>
      </c>
      <c r="C13">
        <v>0.18</v>
      </c>
      <c r="D13">
        <v>1000</v>
      </c>
      <c r="F13">
        <f t="shared" si="4"/>
        <v>1.7999999999999998E-4</v>
      </c>
      <c r="G13" s="40">
        <f t="shared" si="5"/>
        <v>1.7999999999999999E-2</v>
      </c>
      <c r="H13" s="40"/>
    </row>
    <row r="14" spans="1:8" x14ac:dyDescent="0.35">
      <c r="A14" t="s">
        <v>29</v>
      </c>
      <c r="C14">
        <v>0.1</v>
      </c>
      <c r="D14">
        <v>1000</v>
      </c>
      <c r="F14">
        <f t="shared" si="4"/>
        <v>1E-4</v>
      </c>
      <c r="G14" s="40">
        <f t="shared" si="5"/>
        <v>0.01</v>
      </c>
      <c r="H14" s="40"/>
    </row>
    <row r="16" spans="1:8" x14ac:dyDescent="0.35">
      <c r="A16" t="s">
        <v>100</v>
      </c>
    </row>
    <row r="18" spans="1:1" x14ac:dyDescent="0.35">
      <c r="A18" t="s">
        <v>36</v>
      </c>
    </row>
    <row r="19" spans="1:1" x14ac:dyDescent="0.35">
      <c r="A19" t="s">
        <v>34</v>
      </c>
    </row>
  </sheetData>
  <mergeCells count="5">
    <mergeCell ref="G10:H10"/>
    <mergeCell ref="G11:H11"/>
    <mergeCell ref="G12:H12"/>
    <mergeCell ref="G13:H13"/>
    <mergeCell ref="G14:H14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D1A3-7BAD-4063-B1C6-8CB7B009FF65}">
  <dimension ref="A1:G11"/>
  <sheetViews>
    <sheetView workbookViewId="0">
      <selection activeCell="F10" sqref="A1:G10"/>
    </sheetView>
  </sheetViews>
  <sheetFormatPr baseColWidth="10" defaultRowHeight="14.5" x14ac:dyDescent="0.35"/>
  <cols>
    <col min="1" max="1" width="19.08984375" customWidth="1"/>
    <col min="2" max="2" width="13.1796875" customWidth="1"/>
    <col min="3" max="3" width="20.26953125" customWidth="1"/>
    <col min="4" max="5" width="21.26953125" customWidth="1"/>
    <col min="6" max="6" width="22.36328125" customWidth="1"/>
    <col min="7" max="7" width="24.7265625" customWidth="1"/>
    <col min="8" max="8" width="22.90625" customWidth="1"/>
  </cols>
  <sheetData>
    <row r="1" spans="1:7" s="1" customFormat="1" x14ac:dyDescent="0.35">
      <c r="A1" s="1" t="s">
        <v>75</v>
      </c>
      <c r="B1" s="1" t="s">
        <v>79</v>
      </c>
      <c r="C1" s="1" t="s">
        <v>30</v>
      </c>
      <c r="D1" s="1" t="s">
        <v>77</v>
      </c>
      <c r="E1" s="1" t="s">
        <v>83</v>
      </c>
    </row>
    <row r="2" spans="1:7" x14ac:dyDescent="0.35">
      <c r="A2" t="s">
        <v>78</v>
      </c>
      <c r="B2">
        <v>0</v>
      </c>
      <c r="C2" t="s">
        <v>80</v>
      </c>
      <c r="E2" s="2"/>
      <c r="F2" s="2"/>
    </row>
    <row r="3" spans="1:7" x14ac:dyDescent="0.35">
      <c r="A3" t="s">
        <v>0</v>
      </c>
      <c r="B3">
        <v>5</v>
      </c>
      <c r="C3">
        <v>500</v>
      </c>
      <c r="D3" s="2">
        <f>B3/C3</f>
        <v>0.01</v>
      </c>
      <c r="E3" s="2">
        <f>D3*20</f>
        <v>0.2</v>
      </c>
      <c r="F3" s="2"/>
    </row>
    <row r="4" spans="1:7" x14ac:dyDescent="0.35">
      <c r="A4" t="s">
        <v>76</v>
      </c>
      <c r="B4">
        <v>15</v>
      </c>
      <c r="C4">
        <v>1700</v>
      </c>
      <c r="D4" s="2">
        <f>B4/C4</f>
        <v>8.8235294117647058E-3</v>
      </c>
      <c r="E4" s="2">
        <f>D4*20</f>
        <v>0.1764705882352941</v>
      </c>
      <c r="F4" s="2"/>
    </row>
    <row r="5" spans="1:7" x14ac:dyDescent="0.35">
      <c r="F5" s="3"/>
    </row>
    <row r="7" spans="1:7" x14ac:dyDescent="0.35">
      <c r="A7" t="s">
        <v>84</v>
      </c>
    </row>
    <row r="8" spans="1:7" x14ac:dyDescent="0.35">
      <c r="A8" t="s">
        <v>81</v>
      </c>
    </row>
    <row r="9" spans="1:7" x14ac:dyDescent="0.35">
      <c r="F9" s="40"/>
      <c r="G9" s="40"/>
    </row>
    <row r="10" spans="1:7" x14ac:dyDescent="0.35">
      <c r="F10" s="40"/>
      <c r="G10" s="40"/>
    </row>
    <row r="11" spans="1:7" x14ac:dyDescent="0.35">
      <c r="F11" s="40"/>
      <c r="G11" s="40"/>
    </row>
  </sheetData>
  <mergeCells count="3">
    <mergeCell ref="F9:G9"/>
    <mergeCell ref="F10:G10"/>
    <mergeCell ref="F11:G1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691C0-4F1A-478B-990A-02E553FB2165}">
  <dimension ref="A1:J17"/>
  <sheetViews>
    <sheetView zoomScale="85" zoomScaleNormal="85" workbookViewId="0">
      <selection activeCell="D17" sqref="D17"/>
    </sheetView>
  </sheetViews>
  <sheetFormatPr baseColWidth="10" defaultRowHeight="14.5" x14ac:dyDescent="0.35"/>
  <cols>
    <col min="1" max="1" width="31.54296875" customWidth="1"/>
    <col min="2" max="2" width="16.1796875" customWidth="1"/>
    <col min="3" max="3" width="24" customWidth="1"/>
    <col min="4" max="4" width="24.453125" customWidth="1"/>
    <col min="5" max="5" width="23.1796875" customWidth="1"/>
    <col min="6" max="7" width="23.54296875" customWidth="1"/>
    <col min="8" max="8" width="25.36328125" customWidth="1"/>
    <col min="9" max="9" width="22.36328125" customWidth="1"/>
    <col min="10" max="10" width="24.7265625" customWidth="1"/>
    <col min="11" max="11" width="22.90625" customWidth="1"/>
  </cols>
  <sheetData>
    <row r="1" spans="1:10" s="1" customFormat="1" x14ac:dyDescent="0.35">
      <c r="A1" s="1" t="s">
        <v>90</v>
      </c>
      <c r="B1" s="1" t="s">
        <v>15</v>
      </c>
      <c r="C1" s="1" t="s">
        <v>16</v>
      </c>
      <c r="D1" s="1" t="s">
        <v>30</v>
      </c>
    </row>
    <row r="2" spans="1:10" x14ac:dyDescent="0.35">
      <c r="A2" t="s">
        <v>87</v>
      </c>
      <c r="B2">
        <v>0</v>
      </c>
      <c r="C2">
        <v>0</v>
      </c>
      <c r="D2" t="s">
        <v>80</v>
      </c>
      <c r="H2" s="2"/>
      <c r="I2" s="2"/>
    </row>
    <row r="3" spans="1:10" x14ac:dyDescent="0.35">
      <c r="A3" t="s">
        <v>88</v>
      </c>
      <c r="B3">
        <v>7</v>
      </c>
      <c r="C3">
        <v>10</v>
      </c>
      <c r="D3">
        <v>500</v>
      </c>
      <c r="E3" s="2"/>
      <c r="F3" s="2"/>
      <c r="G3" s="2"/>
      <c r="H3" s="2"/>
      <c r="I3" s="2"/>
    </row>
    <row r="4" spans="1:10" x14ac:dyDescent="0.35">
      <c r="A4" t="s">
        <v>85</v>
      </c>
      <c r="B4">
        <v>21</v>
      </c>
      <c r="C4">
        <v>30</v>
      </c>
      <c r="D4">
        <v>1700</v>
      </c>
      <c r="E4" s="2"/>
      <c r="F4" s="2"/>
      <c r="G4" s="2"/>
      <c r="H4" s="2"/>
      <c r="I4" s="2"/>
    </row>
    <row r="5" spans="1:10" x14ac:dyDescent="0.35">
      <c r="A5" t="s">
        <v>80</v>
      </c>
      <c r="B5">
        <v>66.5</v>
      </c>
      <c r="C5">
        <v>95</v>
      </c>
      <c r="D5">
        <v>10000</v>
      </c>
      <c r="E5" s="2"/>
      <c r="F5" s="2"/>
      <c r="G5" s="2"/>
      <c r="H5" s="2"/>
      <c r="I5" s="2"/>
    </row>
    <row r="6" spans="1:10" x14ac:dyDescent="0.35">
      <c r="A6" t="s">
        <v>86</v>
      </c>
      <c r="B6" t="s">
        <v>89</v>
      </c>
      <c r="C6" t="s">
        <v>89</v>
      </c>
      <c r="E6" s="2"/>
      <c r="F6" s="2"/>
      <c r="G6" s="2"/>
      <c r="H6" s="2"/>
      <c r="I6" s="2"/>
    </row>
    <row r="7" spans="1:10" x14ac:dyDescent="0.35">
      <c r="I7" s="3"/>
    </row>
    <row r="8" spans="1:10" x14ac:dyDescent="0.35">
      <c r="A8" t="s">
        <v>91</v>
      </c>
    </row>
    <row r="9" spans="1:10" x14ac:dyDescent="0.35">
      <c r="I9" s="3"/>
    </row>
    <row r="11" spans="1:10" x14ac:dyDescent="0.35">
      <c r="A11" s="1" t="s">
        <v>92</v>
      </c>
      <c r="B11" s="1"/>
    </row>
    <row r="12" spans="1:10" x14ac:dyDescent="0.35">
      <c r="A12" s="1" t="s">
        <v>99</v>
      </c>
      <c r="B12" s="1" t="s">
        <v>93</v>
      </c>
      <c r="C12" s="1" t="s">
        <v>96</v>
      </c>
      <c r="D12" s="1" t="s">
        <v>97</v>
      </c>
      <c r="E12" s="1" t="s">
        <v>94</v>
      </c>
      <c r="F12" s="1" t="s">
        <v>95</v>
      </c>
    </row>
    <row r="13" spans="1:10" x14ac:dyDescent="0.35">
      <c r="B13">
        <v>6.4000000000000003E-3</v>
      </c>
      <c r="C13">
        <v>65</v>
      </c>
      <c r="D13">
        <v>124</v>
      </c>
      <c r="E13">
        <f>C13*B13</f>
        <v>0.41600000000000004</v>
      </c>
      <c r="F13">
        <f>D13*B13</f>
        <v>0.79360000000000008</v>
      </c>
    </row>
    <row r="14" spans="1:10" x14ac:dyDescent="0.35">
      <c r="I14" s="40"/>
      <c r="J14" s="40"/>
    </row>
    <row r="15" spans="1:10" x14ac:dyDescent="0.35">
      <c r="I15" s="40"/>
      <c r="J15" s="40"/>
    </row>
    <row r="16" spans="1:10" x14ac:dyDescent="0.35">
      <c r="A16" t="s">
        <v>98</v>
      </c>
    </row>
    <row r="17" spans="1:1" x14ac:dyDescent="0.35">
      <c r="A17" t="s">
        <v>81</v>
      </c>
    </row>
  </sheetData>
  <mergeCells count="2">
    <mergeCell ref="I14:J14"/>
    <mergeCell ref="I15:J15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3713-3E89-4A71-A172-6D7922B9768D}">
  <dimension ref="A1:H27"/>
  <sheetViews>
    <sheetView topLeftCell="A9" zoomScale="85" zoomScaleNormal="85" workbookViewId="0">
      <selection activeCell="H27" sqref="A9:H27"/>
    </sheetView>
  </sheetViews>
  <sheetFormatPr baseColWidth="10" defaultRowHeight="14.5" x14ac:dyDescent="0.35"/>
  <cols>
    <col min="1" max="1" width="35" customWidth="1"/>
    <col min="2" max="2" width="15.1796875" customWidth="1"/>
    <col min="3" max="3" width="13.453125" customWidth="1"/>
    <col min="4" max="4" width="17.08984375" customWidth="1"/>
    <col min="5" max="5" width="22.26953125" customWidth="1"/>
    <col min="6" max="6" width="25.36328125" customWidth="1"/>
    <col min="7" max="7" width="19.54296875" customWidth="1"/>
    <col min="8" max="8" width="21" customWidth="1"/>
  </cols>
  <sheetData>
    <row r="1" spans="1:8" x14ac:dyDescent="0.35">
      <c r="A1" s="1" t="s">
        <v>40</v>
      </c>
      <c r="B1" s="1" t="s">
        <v>15</v>
      </c>
      <c r="C1" s="1" t="s">
        <v>16</v>
      </c>
      <c r="D1" s="1" t="s">
        <v>30</v>
      </c>
      <c r="E1" s="1" t="s">
        <v>32</v>
      </c>
      <c r="F1" s="1" t="s">
        <v>33</v>
      </c>
      <c r="G1" s="1" t="s">
        <v>52</v>
      </c>
      <c r="H1" s="1" t="s">
        <v>53</v>
      </c>
    </row>
    <row r="2" spans="1:8" ht="29" x14ac:dyDescent="0.35">
      <c r="A2" s="4" t="s">
        <v>55</v>
      </c>
      <c r="B2">
        <v>0</v>
      </c>
      <c r="C2">
        <v>0</v>
      </c>
      <c r="D2">
        <v>50</v>
      </c>
      <c r="E2">
        <f>B2/D2</f>
        <v>0</v>
      </c>
      <c r="F2">
        <f>C2/D2</f>
        <v>0</v>
      </c>
      <c r="G2" s="2">
        <f>E2*100</f>
        <v>0</v>
      </c>
      <c r="H2" s="2">
        <f>F2*100</f>
        <v>0</v>
      </c>
    </row>
    <row r="3" spans="1:8" x14ac:dyDescent="0.35">
      <c r="A3" t="s">
        <v>14</v>
      </c>
      <c r="B3">
        <v>96</v>
      </c>
      <c r="C3">
        <v>10</v>
      </c>
      <c r="D3">
        <v>2500</v>
      </c>
      <c r="E3">
        <f>B3/(D3*12)</f>
        <v>3.2000000000000002E-3</v>
      </c>
      <c r="F3">
        <f>C3/D3</f>
        <v>4.0000000000000001E-3</v>
      </c>
      <c r="G3" s="2">
        <f>E3*5</f>
        <v>1.6E-2</v>
      </c>
      <c r="H3" s="2">
        <f>F3*5</f>
        <v>0.02</v>
      </c>
    </row>
    <row r="4" spans="1:8" x14ac:dyDescent="0.35">
      <c r="A4" t="s">
        <v>54</v>
      </c>
      <c r="B4">
        <v>288</v>
      </c>
      <c r="C4">
        <v>30</v>
      </c>
      <c r="D4">
        <v>10000</v>
      </c>
      <c r="E4">
        <f>B4/(D4*12)</f>
        <v>2.3999999999999998E-3</v>
      </c>
      <c r="F4">
        <f t="shared" ref="F4" si="0">C4/D4</f>
        <v>3.0000000000000001E-3</v>
      </c>
      <c r="G4" s="2">
        <f>E4*5</f>
        <v>1.1999999999999999E-2</v>
      </c>
      <c r="H4" s="2">
        <f>F4*5</f>
        <v>1.4999999999999999E-2</v>
      </c>
    </row>
    <row r="5" spans="1:8" x14ac:dyDescent="0.35">
      <c r="G5" s="2"/>
      <c r="H5" s="2"/>
    </row>
    <row r="6" spans="1:8" x14ac:dyDescent="0.35">
      <c r="A6" t="s">
        <v>58</v>
      </c>
    </row>
    <row r="7" spans="1:8" x14ac:dyDescent="0.35">
      <c r="A7" t="s">
        <v>59</v>
      </c>
    </row>
    <row r="9" spans="1:8" x14ac:dyDescent="0.35">
      <c r="A9" s="1" t="s">
        <v>57</v>
      </c>
    </row>
    <row r="10" spans="1:8" x14ac:dyDescent="0.35">
      <c r="A10" t="s">
        <v>41</v>
      </c>
      <c r="C10" t="s">
        <v>42</v>
      </c>
      <c r="G10" s="2"/>
    </row>
    <row r="11" spans="1:8" x14ac:dyDescent="0.35">
      <c r="A11" t="s">
        <v>43</v>
      </c>
      <c r="C11">
        <v>13</v>
      </c>
      <c r="D11">
        <v>100</v>
      </c>
      <c r="E11" s="42">
        <f t="shared" ref="E11:E18" si="1">C11/D11</f>
        <v>0.13</v>
      </c>
      <c r="F11" s="42"/>
      <c r="G11" s="40">
        <f>E11*0.36</f>
        <v>4.6800000000000001E-2</v>
      </c>
      <c r="H11" s="40"/>
    </row>
    <row r="12" spans="1:8" x14ac:dyDescent="0.35">
      <c r="A12" t="s">
        <v>44</v>
      </c>
      <c r="C12">
        <v>63.2</v>
      </c>
      <c r="D12">
        <v>530</v>
      </c>
      <c r="E12" s="42">
        <f t="shared" si="1"/>
        <v>0.11924528301886793</v>
      </c>
      <c r="F12" s="42"/>
      <c r="G12" s="40">
        <f t="shared" ref="G12:G18" si="2">E12*0.36</f>
        <v>4.2928301886792454E-2</v>
      </c>
      <c r="H12" s="40"/>
    </row>
    <row r="13" spans="1:8" x14ac:dyDescent="0.35">
      <c r="A13" t="s">
        <v>45</v>
      </c>
      <c r="C13">
        <v>126</v>
      </c>
      <c r="D13">
        <v>1100</v>
      </c>
      <c r="E13" s="42">
        <f t="shared" si="1"/>
        <v>0.11454545454545455</v>
      </c>
      <c r="F13" s="42"/>
      <c r="G13" s="40">
        <f t="shared" si="2"/>
        <v>4.1236363636363634E-2</v>
      </c>
      <c r="H13" s="40"/>
    </row>
    <row r="14" spans="1:8" x14ac:dyDescent="0.35">
      <c r="A14" t="s">
        <v>46</v>
      </c>
      <c r="C14">
        <v>647</v>
      </c>
      <c r="D14">
        <v>5950</v>
      </c>
      <c r="E14" s="42">
        <f t="shared" si="1"/>
        <v>0.10873949579831933</v>
      </c>
      <c r="F14" s="42"/>
      <c r="G14" s="40">
        <f t="shared" si="2"/>
        <v>3.9146218487394961E-2</v>
      </c>
      <c r="H14" s="40"/>
    </row>
    <row r="15" spans="1:8" x14ac:dyDescent="0.35">
      <c r="A15" t="s">
        <v>47</v>
      </c>
      <c r="C15">
        <v>1313</v>
      </c>
      <c r="D15">
        <v>12500</v>
      </c>
      <c r="E15" s="42">
        <f t="shared" si="1"/>
        <v>0.10503999999999999</v>
      </c>
      <c r="F15" s="42"/>
      <c r="G15" s="40">
        <f t="shared" si="2"/>
        <v>3.7814399999999998E-2</v>
      </c>
      <c r="H15" s="40"/>
    </row>
    <row r="16" spans="1:8" x14ac:dyDescent="0.35">
      <c r="A16" t="s">
        <v>48</v>
      </c>
      <c r="C16">
        <v>2528</v>
      </c>
      <c r="D16">
        <v>25000</v>
      </c>
      <c r="E16" s="42">
        <f t="shared" si="1"/>
        <v>0.10112</v>
      </c>
      <c r="F16" s="42"/>
      <c r="G16" s="40">
        <f t="shared" si="2"/>
        <v>3.6403199999999997E-2</v>
      </c>
      <c r="H16" s="40"/>
    </row>
    <row r="17" spans="1:8" x14ac:dyDescent="0.35">
      <c r="A17" t="s">
        <v>49</v>
      </c>
      <c r="C17">
        <v>6641</v>
      </c>
      <c r="D17">
        <v>67500</v>
      </c>
      <c r="E17" s="42">
        <f t="shared" si="1"/>
        <v>9.8385185185185187E-2</v>
      </c>
      <c r="F17" s="42"/>
      <c r="G17" s="40">
        <f t="shared" si="2"/>
        <v>3.5418666666666668E-2</v>
      </c>
      <c r="H17" s="40"/>
    </row>
    <row r="18" spans="1:8" x14ac:dyDescent="0.35">
      <c r="A18" t="s">
        <v>50</v>
      </c>
      <c r="C18">
        <v>13584</v>
      </c>
      <c r="D18">
        <v>142800</v>
      </c>
      <c r="E18" s="42">
        <f t="shared" si="1"/>
        <v>9.5126050420168071E-2</v>
      </c>
      <c r="F18" s="42"/>
      <c r="G18" s="40">
        <f t="shared" si="2"/>
        <v>3.4245378151260504E-2</v>
      </c>
      <c r="H18" s="40"/>
    </row>
    <row r="20" spans="1:8" x14ac:dyDescent="0.35">
      <c r="A20" t="s">
        <v>56</v>
      </c>
    </row>
    <row r="21" spans="1:8" x14ac:dyDescent="0.35">
      <c r="A21" t="s">
        <v>51</v>
      </c>
    </row>
    <row r="23" spans="1:8" x14ac:dyDescent="0.35">
      <c r="A23" s="28" t="s">
        <v>63</v>
      </c>
      <c r="B23" s="28"/>
      <c r="C23" s="28"/>
      <c r="D23" s="28"/>
      <c r="E23" s="1" t="s">
        <v>62</v>
      </c>
      <c r="F23" s="1" t="s">
        <v>103</v>
      </c>
    </row>
    <row r="24" spans="1:8" x14ac:dyDescent="0.35">
      <c r="A24" t="s">
        <v>61</v>
      </c>
      <c r="B24" t="s">
        <v>37</v>
      </c>
      <c r="C24" t="s">
        <v>14</v>
      </c>
      <c r="D24" s="2">
        <f>G3</f>
        <v>1.6E-2</v>
      </c>
      <c r="E24" s="2">
        <f>G13</f>
        <v>4.1236363636363634E-2</v>
      </c>
      <c r="F24" s="2">
        <f>D24+E24</f>
        <v>5.7236363636363634E-2</v>
      </c>
    </row>
    <row r="25" spans="1:8" x14ac:dyDescent="0.35">
      <c r="A25" t="s">
        <v>61</v>
      </c>
      <c r="B25" t="s">
        <v>37</v>
      </c>
      <c r="C25" t="s">
        <v>54</v>
      </c>
      <c r="D25" s="2">
        <f>G4</f>
        <v>1.1999999999999999E-2</v>
      </c>
      <c r="E25" s="2">
        <f>G13</f>
        <v>4.1236363636363634E-2</v>
      </c>
      <c r="F25" s="2">
        <f t="shared" ref="F25:F27" si="3">D25+E25</f>
        <v>5.323636363636363E-2</v>
      </c>
    </row>
    <row r="26" spans="1:8" x14ac:dyDescent="0.35">
      <c r="A26" t="s">
        <v>60</v>
      </c>
      <c r="B26" t="s">
        <v>38</v>
      </c>
      <c r="C26" t="s">
        <v>14</v>
      </c>
      <c r="D26" s="2">
        <f>H3</f>
        <v>0.02</v>
      </c>
      <c r="E26" s="2">
        <f>G13</f>
        <v>4.1236363636363634E-2</v>
      </c>
      <c r="F26" s="2">
        <f t="shared" si="3"/>
        <v>6.123636363636363E-2</v>
      </c>
    </row>
    <row r="27" spans="1:8" x14ac:dyDescent="0.35">
      <c r="A27" t="s">
        <v>60</v>
      </c>
      <c r="B27" t="s">
        <v>38</v>
      </c>
      <c r="C27" t="s">
        <v>54</v>
      </c>
      <c r="D27" s="2">
        <f>H4</f>
        <v>1.4999999999999999E-2</v>
      </c>
      <c r="E27" s="2">
        <f>G13</f>
        <v>4.1236363636363634E-2</v>
      </c>
      <c r="F27" s="2">
        <f t="shared" si="3"/>
        <v>5.6236363636363633E-2</v>
      </c>
    </row>
  </sheetData>
  <mergeCells count="17">
    <mergeCell ref="E15:F15"/>
    <mergeCell ref="E16:F16"/>
    <mergeCell ref="A23:D23"/>
    <mergeCell ref="E17:F17"/>
    <mergeCell ref="E18:F18"/>
    <mergeCell ref="G11:H11"/>
    <mergeCell ref="G12:H12"/>
    <mergeCell ref="G13:H13"/>
    <mergeCell ref="G14:H14"/>
    <mergeCell ref="G15:H15"/>
    <mergeCell ref="G16:H16"/>
    <mergeCell ref="G17:H17"/>
    <mergeCell ref="G18:H18"/>
    <mergeCell ref="E11:F11"/>
    <mergeCell ref="E12:F12"/>
    <mergeCell ref="E13:F13"/>
    <mergeCell ref="E14:F14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3A2C0-F7E4-44F1-9EB9-4625D672EE90}">
  <dimension ref="A1:H17"/>
  <sheetViews>
    <sheetView workbookViewId="0">
      <selection activeCell="G17" sqref="G17"/>
    </sheetView>
  </sheetViews>
  <sheetFormatPr baseColWidth="10" defaultRowHeight="14.5" x14ac:dyDescent="0.35"/>
  <cols>
    <col min="1" max="1" width="19.08984375" customWidth="1"/>
    <col min="2" max="2" width="12.54296875" customWidth="1"/>
    <col min="3" max="3" width="14.90625" customWidth="1"/>
    <col min="4" max="4" width="19.7265625" customWidth="1"/>
    <col min="5" max="5" width="22.1796875" customWidth="1"/>
    <col min="6" max="6" width="22.90625" customWidth="1"/>
    <col min="7" max="7" width="21.1796875" customWidth="1"/>
    <col min="8" max="8" width="23.26953125" customWidth="1"/>
  </cols>
  <sheetData>
    <row r="1" spans="1:8" x14ac:dyDescent="0.35">
      <c r="A1" s="1" t="s">
        <v>226</v>
      </c>
      <c r="B1" s="1" t="s">
        <v>15</v>
      </c>
      <c r="C1" s="1" t="s">
        <v>16</v>
      </c>
      <c r="D1" s="1" t="s">
        <v>30</v>
      </c>
      <c r="E1" s="1" t="s">
        <v>32</v>
      </c>
      <c r="F1" s="1" t="s">
        <v>33</v>
      </c>
      <c r="G1" s="1" t="s">
        <v>24</v>
      </c>
      <c r="H1" s="1" t="s">
        <v>27</v>
      </c>
    </row>
    <row r="2" spans="1:8" x14ac:dyDescent="0.35">
      <c r="A2" t="s">
        <v>223</v>
      </c>
      <c r="B2">
        <v>41</v>
      </c>
      <c r="C2">
        <v>49</v>
      </c>
      <c r="D2">
        <v>2000</v>
      </c>
      <c r="E2" s="2">
        <f>B2/D2</f>
        <v>2.0500000000000001E-2</v>
      </c>
      <c r="F2" s="2">
        <f>C2/D2</f>
        <v>2.4500000000000001E-2</v>
      </c>
      <c r="G2" s="2">
        <f>E2*1.25</f>
        <v>2.5625000000000002E-2</v>
      </c>
      <c r="H2" s="2">
        <f>F2*1.25</f>
        <v>3.0624999999999999E-2</v>
      </c>
    </row>
    <row r="3" spans="1:8" x14ac:dyDescent="0.35">
      <c r="A3" t="s">
        <v>224</v>
      </c>
      <c r="B3">
        <v>99</v>
      </c>
      <c r="C3">
        <v>119</v>
      </c>
      <c r="D3">
        <v>10000</v>
      </c>
      <c r="E3" s="2">
        <f>B3/D3</f>
        <v>9.9000000000000008E-3</v>
      </c>
      <c r="F3" s="2">
        <f>C3/D3</f>
        <v>1.1900000000000001E-2</v>
      </c>
      <c r="G3" s="2">
        <f>E3*1.25</f>
        <v>1.2375000000000001E-2</v>
      </c>
      <c r="H3" s="2">
        <f>F3*1.25</f>
        <v>1.4875000000000001E-2</v>
      </c>
    </row>
    <row r="4" spans="1:8" x14ac:dyDescent="0.35">
      <c r="A4" t="s">
        <v>224</v>
      </c>
      <c r="B4">
        <v>137</v>
      </c>
      <c r="C4">
        <v>164</v>
      </c>
      <c r="D4">
        <v>20000</v>
      </c>
      <c r="E4" s="2">
        <f t="shared" ref="E4:E6" si="0">B4/D4</f>
        <v>6.8500000000000002E-3</v>
      </c>
      <c r="F4" s="2">
        <f t="shared" ref="F4:F10" si="1">C4/D4</f>
        <v>8.2000000000000007E-3</v>
      </c>
      <c r="G4" s="2">
        <f t="shared" ref="G4:G6" si="2">E4*1.25</f>
        <v>8.5625000000000007E-3</v>
      </c>
      <c r="H4" s="2">
        <f t="shared" ref="H4:H6" si="3">F4*1.25</f>
        <v>1.025E-2</v>
      </c>
    </row>
    <row r="5" spans="1:8" x14ac:dyDescent="0.35">
      <c r="A5" t="s">
        <v>224</v>
      </c>
      <c r="B5">
        <v>174</v>
      </c>
      <c r="C5">
        <v>209</v>
      </c>
      <c r="D5">
        <v>30000</v>
      </c>
      <c r="E5" s="2">
        <f t="shared" si="0"/>
        <v>5.7999999999999996E-3</v>
      </c>
      <c r="F5" s="2">
        <f t="shared" si="1"/>
        <v>6.966666666666667E-3</v>
      </c>
      <c r="G5" s="2">
        <f t="shared" si="2"/>
        <v>7.2499999999999995E-3</v>
      </c>
      <c r="H5" s="2">
        <f t="shared" si="3"/>
        <v>8.7083333333333336E-3</v>
      </c>
    </row>
    <row r="6" spans="1:8" x14ac:dyDescent="0.35">
      <c r="A6" t="s">
        <v>224</v>
      </c>
      <c r="B6">
        <v>212</v>
      </c>
      <c r="C6">
        <v>254</v>
      </c>
      <c r="D6">
        <v>40000</v>
      </c>
      <c r="E6" s="2">
        <f t="shared" si="0"/>
        <v>5.3E-3</v>
      </c>
      <c r="F6" s="2">
        <f t="shared" si="1"/>
        <v>6.3499999999999997E-3</v>
      </c>
      <c r="G6" s="2">
        <f t="shared" si="2"/>
        <v>6.6249999999999998E-3</v>
      </c>
      <c r="H6" s="2">
        <f t="shared" si="3"/>
        <v>7.9375000000000001E-3</v>
      </c>
    </row>
    <row r="7" spans="1:8" x14ac:dyDescent="0.35">
      <c r="A7" t="s">
        <v>225</v>
      </c>
      <c r="B7">
        <v>249</v>
      </c>
      <c r="C7">
        <v>299</v>
      </c>
      <c r="D7">
        <v>50000</v>
      </c>
      <c r="E7" s="2">
        <f>B7/D7</f>
        <v>4.9800000000000001E-3</v>
      </c>
      <c r="F7" s="2">
        <f t="shared" si="1"/>
        <v>5.9800000000000001E-3</v>
      </c>
      <c r="G7" s="2">
        <f t="shared" ref="G7:H9" si="4">E7*1.25</f>
        <v>6.2249999999999996E-3</v>
      </c>
      <c r="H7" s="2">
        <f t="shared" si="4"/>
        <v>7.4749999999999999E-3</v>
      </c>
    </row>
    <row r="8" spans="1:8" x14ac:dyDescent="0.35">
      <c r="A8" t="s">
        <v>225</v>
      </c>
      <c r="B8">
        <v>483</v>
      </c>
      <c r="C8">
        <v>580</v>
      </c>
      <c r="D8">
        <v>100000</v>
      </c>
      <c r="E8" s="2">
        <f>B8/D8</f>
        <v>4.8300000000000001E-3</v>
      </c>
      <c r="F8" s="2">
        <f t="shared" si="1"/>
        <v>5.7999999999999996E-3</v>
      </c>
      <c r="G8" s="2">
        <f t="shared" si="4"/>
        <v>6.0375000000000003E-3</v>
      </c>
      <c r="H8" s="2">
        <f t="shared" si="4"/>
        <v>7.2499999999999995E-3</v>
      </c>
    </row>
    <row r="9" spans="1:8" x14ac:dyDescent="0.35">
      <c r="A9" t="s">
        <v>225</v>
      </c>
      <c r="B9">
        <v>706</v>
      </c>
      <c r="C9">
        <v>847</v>
      </c>
      <c r="D9">
        <v>150000</v>
      </c>
      <c r="E9" s="2">
        <f>B9/D9</f>
        <v>4.7066666666666663E-3</v>
      </c>
      <c r="F9" s="2">
        <f t="shared" si="1"/>
        <v>5.646666666666667E-3</v>
      </c>
      <c r="G9" s="2">
        <f t="shared" si="4"/>
        <v>5.8833333333333324E-3</v>
      </c>
      <c r="H9" s="2">
        <f t="shared" si="4"/>
        <v>7.058333333333334E-3</v>
      </c>
    </row>
    <row r="10" spans="1:8" x14ac:dyDescent="0.35">
      <c r="A10" t="s">
        <v>225</v>
      </c>
      <c r="B10">
        <v>916</v>
      </c>
      <c r="C10">
        <v>1099</v>
      </c>
      <c r="D10">
        <v>200000</v>
      </c>
      <c r="E10" s="2">
        <f t="shared" ref="E10" si="5">B10/D10</f>
        <v>4.5799999999999999E-3</v>
      </c>
      <c r="F10" s="2">
        <f t="shared" si="1"/>
        <v>5.4949999999999999E-3</v>
      </c>
      <c r="G10" s="2">
        <f t="shared" ref="G10:H10" si="6">E10*1.25</f>
        <v>5.7250000000000001E-3</v>
      </c>
      <c r="H10" s="2">
        <f t="shared" si="6"/>
        <v>6.8687499999999999E-3</v>
      </c>
    </row>
    <row r="12" spans="1:8" x14ac:dyDescent="0.35">
      <c r="A12" t="s">
        <v>229</v>
      </c>
    </row>
    <row r="13" spans="1:8" x14ac:dyDescent="0.35">
      <c r="A13" t="s">
        <v>230</v>
      </c>
    </row>
    <row r="14" spans="1:8" x14ac:dyDescent="0.35">
      <c r="A14" s="1" t="s">
        <v>231</v>
      </c>
    </row>
    <row r="16" spans="1:8" x14ac:dyDescent="0.35">
      <c r="A16" t="s">
        <v>228</v>
      </c>
    </row>
    <row r="17" spans="1:1" x14ac:dyDescent="0.35">
      <c r="A17" t="s">
        <v>227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Services</vt:lpstr>
      <vt:lpstr>AWS S3</vt:lpstr>
      <vt:lpstr>IAM AuthO</vt:lpstr>
      <vt:lpstr>LLM</vt:lpstr>
      <vt:lpstr>Image</vt:lpstr>
      <vt:lpstr>Voice</vt:lpstr>
      <vt:lpstr>Animation</vt:lpstr>
      <vt:lpstr>Video</vt:lpstr>
      <vt:lpstr>Music</vt:lpstr>
      <vt:lpstr>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Todd</dc:creator>
  <cp:lastModifiedBy>Tim Todd</cp:lastModifiedBy>
  <dcterms:created xsi:type="dcterms:W3CDTF">2015-06-05T18:19:34Z</dcterms:created>
  <dcterms:modified xsi:type="dcterms:W3CDTF">2025-03-18T10:51:48Z</dcterms:modified>
</cp:coreProperties>
</file>